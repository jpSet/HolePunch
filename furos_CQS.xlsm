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4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jpa\Documents\xls\"/>
    </mc:Choice>
  </mc:AlternateContent>
  <xr:revisionPtr revIDLastSave="0" documentId="13_ncr:1_{2C54336E-5ADC-4DE7-8785-2047E9AA1B6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44F" sheetId="1" r:id="rId1"/>
    <sheet name="A42F" sheetId="7" r:id="rId2"/>
    <sheet name="LT" sheetId="8" r:id="rId3"/>
    <sheet name="SW" sheetId="9" r:id="rId4"/>
    <sheet name="CQS" sheetId="2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" l="1"/>
  <c r="C5" i="2"/>
  <c r="B6" i="2"/>
  <c r="C6" i="2"/>
  <c r="B7" i="2"/>
  <c r="C7" i="2"/>
  <c r="B8" i="2"/>
  <c r="C8" i="2"/>
  <c r="B9" i="2"/>
  <c r="C9" i="2"/>
  <c r="B10" i="2"/>
  <c r="C10" i="2"/>
  <c r="B11" i="2"/>
  <c r="C11" i="2"/>
  <c r="AA6" i="1" s="1"/>
  <c r="B12" i="2"/>
  <c r="C12" i="2"/>
  <c r="AC6" i="7" s="1"/>
  <c r="E5" i="2"/>
  <c r="F5" i="2"/>
  <c r="G5" i="2"/>
  <c r="O24" i="7" s="1"/>
  <c r="H5" i="2"/>
  <c r="I5" i="2"/>
  <c r="J5" i="2"/>
  <c r="K5" i="2"/>
  <c r="L5" i="2"/>
  <c r="M5" i="2"/>
  <c r="N5" i="2"/>
  <c r="O5" i="2"/>
  <c r="P5" i="2"/>
  <c r="Q5" i="2"/>
  <c r="R5" i="2"/>
  <c r="S5" i="2"/>
  <c r="T5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E10" i="2"/>
  <c r="F10" i="2"/>
  <c r="G10" i="2"/>
  <c r="H10" i="2"/>
  <c r="I10" i="2"/>
  <c r="J10" i="2"/>
  <c r="K10" i="2"/>
  <c r="Q29" i="7" s="1"/>
  <c r="L10" i="2"/>
  <c r="M10" i="2"/>
  <c r="N10" i="2"/>
  <c r="O10" i="2"/>
  <c r="P10" i="2"/>
  <c r="Q10" i="2"/>
  <c r="R10" i="2"/>
  <c r="S10" i="2"/>
  <c r="T10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AD14" i="9"/>
  <c r="AD14" i="8"/>
  <c r="AD14" i="7"/>
  <c r="O24" i="1" l="1"/>
  <c r="AC6" i="1"/>
  <c r="Q6" i="1"/>
  <c r="O7" i="1"/>
  <c r="Q24" i="7"/>
  <c r="O25" i="7"/>
  <c r="Q25" i="7"/>
  <c r="O26" i="7"/>
  <c r="Q26" i="7"/>
  <c r="O27" i="7"/>
  <c r="Q27" i="7"/>
  <c r="Q28" i="7"/>
  <c r="O29" i="7"/>
  <c r="O30" i="7"/>
  <c r="Q30" i="7"/>
  <c r="O31" i="7"/>
  <c r="Q31" i="7"/>
  <c r="AD14" i="1"/>
  <c r="W7" i="1" l="1"/>
  <c r="O28" i="7"/>
  <c r="AE31" i="9"/>
  <c r="AA31" i="8"/>
  <c r="AA31" i="9"/>
  <c r="Y31" i="9"/>
  <c r="Y31" i="8"/>
  <c r="AA30" i="8"/>
  <c r="AA30" i="9"/>
  <c r="Y30" i="9"/>
  <c r="Y30" i="8"/>
  <c r="AC29" i="9"/>
  <c r="AC29" i="8"/>
  <c r="AA29" i="8"/>
  <c r="AA29" i="9"/>
  <c r="AE28" i="9"/>
  <c r="AC28" i="9"/>
  <c r="AC28" i="8"/>
  <c r="U31" i="9"/>
  <c r="S31" i="9"/>
  <c r="S31" i="8"/>
  <c r="Q31" i="8"/>
  <c r="Q31" i="9"/>
  <c r="O31" i="9"/>
  <c r="AC7" i="9"/>
  <c r="O31" i="8"/>
  <c r="AC7" i="8"/>
  <c r="U30" i="9"/>
  <c r="S30" i="9"/>
  <c r="S30" i="8"/>
  <c r="Q30" i="8"/>
  <c r="Q30" i="9"/>
  <c r="O30" i="9"/>
  <c r="AA7" i="8"/>
  <c r="AA7" i="9"/>
  <c r="O30" i="8"/>
  <c r="U29" i="9"/>
  <c r="S29" i="9"/>
  <c r="S29" i="8"/>
  <c r="Q29" i="8"/>
  <c r="Q29" i="9"/>
  <c r="O29" i="9"/>
  <c r="Y7" i="9"/>
  <c r="O29" i="8"/>
  <c r="Y7" i="8"/>
  <c r="U28" i="9"/>
  <c r="S28" i="9"/>
  <c r="S28" i="8"/>
  <c r="Q28" i="8"/>
  <c r="Q28" i="9"/>
  <c r="AE27" i="9"/>
  <c r="AC27" i="9"/>
  <c r="AC27" i="8"/>
  <c r="AA27" i="8"/>
  <c r="AA27" i="9"/>
  <c r="Y27" i="9"/>
  <c r="Y27" i="8"/>
  <c r="AE26" i="9"/>
  <c r="AC26" i="9"/>
  <c r="AC26" i="8"/>
  <c r="AA26" i="8"/>
  <c r="AA26" i="9"/>
  <c r="Y26" i="9"/>
  <c r="Y26" i="8"/>
  <c r="AE25" i="9"/>
  <c r="AC25" i="9"/>
  <c r="AC25" i="8"/>
  <c r="AA25" i="8"/>
  <c r="AA25" i="9"/>
  <c r="Y25" i="9"/>
  <c r="Y25" i="8"/>
  <c r="AE24" i="9"/>
  <c r="AC24" i="9"/>
  <c r="AC24" i="8"/>
  <c r="AA24" i="8"/>
  <c r="AA24" i="9"/>
  <c r="Y24" i="9"/>
  <c r="Y24" i="8"/>
  <c r="O24" i="9"/>
  <c r="O7" i="8"/>
  <c r="O7" i="9"/>
  <c r="O24" i="8"/>
  <c r="AA6" i="9"/>
  <c r="AA6" i="8"/>
  <c r="W6" i="9"/>
  <c r="W6" i="8"/>
  <c r="U6" i="7"/>
  <c r="U6" i="9"/>
  <c r="U6" i="8"/>
  <c r="S6" i="8"/>
  <c r="S6" i="9"/>
  <c r="AC31" i="9"/>
  <c r="AC31" i="8"/>
  <c r="AE30" i="9"/>
  <c r="AC30" i="9"/>
  <c r="AC30" i="8"/>
  <c r="AE29" i="9"/>
  <c r="Y29" i="9"/>
  <c r="Y29" i="8"/>
  <c r="AA28" i="8"/>
  <c r="AA28" i="9"/>
  <c r="Y28" i="9"/>
  <c r="Y28" i="8"/>
  <c r="O28" i="9"/>
  <c r="W7" i="9"/>
  <c r="O28" i="8"/>
  <c r="W7" i="8"/>
  <c r="U27" i="9"/>
  <c r="S27" i="9"/>
  <c r="S27" i="8"/>
  <c r="Q27" i="8"/>
  <c r="Q27" i="9"/>
  <c r="O27" i="9"/>
  <c r="U7" i="9"/>
  <c r="O27" i="8"/>
  <c r="U7" i="8"/>
  <c r="U26" i="9"/>
  <c r="S26" i="9"/>
  <c r="S26" i="8"/>
  <c r="Q26" i="8"/>
  <c r="Q26" i="9"/>
  <c r="O26" i="9"/>
  <c r="S7" i="9"/>
  <c r="O26" i="8"/>
  <c r="S7" i="8"/>
  <c r="U25" i="9"/>
  <c r="S25" i="9"/>
  <c r="S25" i="8"/>
  <c r="Q25" i="8"/>
  <c r="Q25" i="9"/>
  <c r="O25" i="9"/>
  <c r="Q7" i="9"/>
  <c r="O25" i="8"/>
  <c r="Q7" i="8"/>
  <c r="U24" i="9"/>
  <c r="S24" i="9"/>
  <c r="S24" i="8"/>
  <c r="Q24" i="8"/>
  <c r="Q24" i="9"/>
  <c r="AC6" i="9"/>
  <c r="AC6" i="8"/>
  <c r="Y6" i="9"/>
  <c r="Y6" i="8"/>
  <c r="Q6" i="7"/>
  <c r="Q6" i="9"/>
  <c r="Q6" i="8"/>
  <c r="O6" i="9"/>
  <c r="O6" i="8"/>
  <c r="AE31" i="1"/>
  <c r="AC31" i="1"/>
  <c r="AA31" i="1"/>
  <c r="AA31" i="7"/>
  <c r="Y31" i="1"/>
  <c r="Y31" i="7"/>
  <c r="AE30" i="1"/>
  <c r="AC30" i="1"/>
  <c r="AA30" i="1"/>
  <c r="AA30" i="7"/>
  <c r="Y30" i="1"/>
  <c r="Y30" i="7"/>
  <c r="O30" i="1"/>
  <c r="AA7" i="7"/>
  <c r="U29" i="1"/>
  <c r="S29" i="1"/>
  <c r="Q29" i="1"/>
  <c r="O29" i="1"/>
  <c r="Y7" i="7"/>
  <c r="U28" i="1"/>
  <c r="S28" i="1"/>
  <c r="Q28" i="1"/>
  <c r="AE27" i="1"/>
  <c r="AC27" i="1"/>
  <c r="AA27" i="1"/>
  <c r="AA27" i="7"/>
  <c r="Y27" i="1"/>
  <c r="Y27" i="7"/>
  <c r="AE26" i="1"/>
  <c r="AC26" i="1"/>
  <c r="AA26" i="1"/>
  <c r="AA26" i="7"/>
  <c r="Y26" i="1"/>
  <c r="Y26" i="7"/>
  <c r="O26" i="1"/>
  <c r="S7" i="7"/>
  <c r="U25" i="1"/>
  <c r="S25" i="1"/>
  <c r="Q25" i="1"/>
  <c r="O25" i="1"/>
  <c r="Q7" i="7"/>
  <c r="U24" i="1"/>
  <c r="S24" i="1"/>
  <c r="Q24" i="1"/>
  <c r="Y6" i="1"/>
  <c r="Y6" i="7"/>
  <c r="S6" i="1"/>
  <c r="S6" i="7"/>
  <c r="U31" i="1"/>
  <c r="S31" i="1"/>
  <c r="Q31" i="1"/>
  <c r="O31" i="1"/>
  <c r="AC7" i="7"/>
  <c r="U30" i="1"/>
  <c r="S30" i="1"/>
  <c r="Q30" i="1"/>
  <c r="AE29" i="1"/>
  <c r="AC29" i="1"/>
  <c r="AA29" i="1"/>
  <c r="AA29" i="7"/>
  <c r="Y29" i="1"/>
  <c r="Y29" i="7"/>
  <c r="AE28" i="1"/>
  <c r="AC28" i="1"/>
  <c r="AA28" i="1"/>
  <c r="AA28" i="7"/>
  <c r="Y28" i="1"/>
  <c r="Y28" i="7"/>
  <c r="O28" i="1"/>
  <c r="W7" i="7"/>
  <c r="U27" i="1"/>
  <c r="S27" i="1"/>
  <c r="Q27" i="1"/>
  <c r="O27" i="1"/>
  <c r="U7" i="7"/>
  <c r="U26" i="1"/>
  <c r="S26" i="1"/>
  <c r="Q26" i="1"/>
  <c r="AE25" i="1"/>
  <c r="AC25" i="1"/>
  <c r="AA25" i="1"/>
  <c r="AA25" i="7"/>
  <c r="Y25" i="1"/>
  <c r="Y25" i="7"/>
  <c r="AE24" i="1"/>
  <c r="AC24" i="1"/>
  <c r="AA24" i="1"/>
  <c r="AA24" i="7"/>
  <c r="Y24" i="1"/>
  <c r="Y24" i="7"/>
  <c r="O7" i="7"/>
  <c r="AA6" i="7"/>
  <c r="W6" i="1"/>
  <c r="W6" i="7"/>
  <c r="O6" i="1"/>
  <c r="O6" i="7"/>
  <c r="AA7" i="1"/>
  <c r="S7" i="1"/>
  <c r="U6" i="1"/>
  <c r="AC7" i="1"/>
  <c r="Y7" i="1"/>
  <c r="U7" i="1"/>
  <c r="Q7" i="1"/>
</calcChain>
</file>

<file path=xl/sharedStrings.xml><?xml version="1.0" encoding="utf-8"?>
<sst xmlns="http://schemas.openxmlformats.org/spreadsheetml/2006/main" count="235" uniqueCount="65">
  <si>
    <t>Bloco de Furos - Acerto Slitters</t>
  </si>
  <si>
    <t>Slitter 4</t>
  </si>
  <si>
    <t>Slitter 2</t>
  </si>
  <si>
    <t>Slitter 3</t>
  </si>
  <si>
    <t>Slitter 5</t>
  </si>
  <si>
    <t>Slitter 6</t>
  </si>
  <si>
    <t>Slitter 7</t>
  </si>
  <si>
    <t>Slitter 8</t>
  </si>
  <si>
    <t>Slitter 9</t>
  </si>
  <si>
    <t>Formato</t>
  </si>
  <si>
    <t>&lt;--</t>
  </si>
  <si>
    <t>Distância ao Furo</t>
  </si>
  <si>
    <t>Pocket 2</t>
  </si>
  <si>
    <t>Pocket 3</t>
  </si>
  <si>
    <t>Pocket 4</t>
  </si>
  <si>
    <t>Pocket 5</t>
  </si>
  <si>
    <t>Pocket 6</t>
  </si>
  <si>
    <t xml:space="preserve">Pocket 7 </t>
  </si>
  <si>
    <t>Pocket 8</t>
  </si>
  <si>
    <t>Pocket 1</t>
  </si>
  <si>
    <t>Slitter 1</t>
  </si>
  <si>
    <t>Mover Slitters</t>
  </si>
  <si>
    <t>Valores na maquina</t>
  </si>
  <si>
    <t xml:space="preserve">novos valores </t>
  </si>
  <si>
    <t>&lt;--  Posição inicial slitters</t>
  </si>
  <si>
    <t>X1</t>
  </si>
  <si>
    <t>Y1</t>
  </si>
  <si>
    <t>Q1</t>
  </si>
  <si>
    <t>D1</t>
  </si>
  <si>
    <t>Q2</t>
  </si>
  <si>
    <t>D2</t>
  </si>
  <si>
    <t>X2</t>
  </si>
  <si>
    <t>Y2</t>
  </si>
  <si>
    <t>Q3</t>
  </si>
  <si>
    <t>D3</t>
  </si>
  <si>
    <t>X3</t>
  </si>
  <si>
    <t>Y3</t>
  </si>
  <si>
    <t>Q4</t>
  </si>
  <si>
    <t>D4</t>
  </si>
  <si>
    <t>X4</t>
  </si>
  <si>
    <t>Y4</t>
  </si>
  <si>
    <t>Y</t>
  </si>
  <si>
    <t>X</t>
  </si>
  <si>
    <t>P1</t>
  </si>
  <si>
    <t>P2</t>
  </si>
  <si>
    <t>P3</t>
  </si>
  <si>
    <t>P4</t>
  </si>
  <si>
    <t>P5</t>
  </si>
  <si>
    <t>P6</t>
  </si>
  <si>
    <t>P7</t>
  </si>
  <si>
    <t>P8</t>
  </si>
  <si>
    <t>Formato LT</t>
  </si>
  <si>
    <t>Formato SW</t>
  </si>
  <si>
    <t>Paper Size</t>
  </si>
  <si>
    <t>Holes</t>
  </si>
  <si>
    <t>Distance</t>
  </si>
  <si>
    <t>Hole Punch - Slitters setup</t>
  </si>
  <si>
    <t>Paper Size A4-4 hole punch</t>
  </si>
  <si>
    <t>Paper Size A4-2 hole punch</t>
  </si>
  <si>
    <t>Distance to hole centre</t>
  </si>
  <si>
    <t>Move Slitters</t>
  </si>
  <si>
    <t xml:space="preserve">+/- 1/10 mm  </t>
  </si>
  <si>
    <t>ignore not implmented</t>
  </si>
  <si>
    <t>&lt;--  ignore not implemented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</si>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</sst>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4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A0A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282FF"/>
        <bgColor indexed="64"/>
      </patternFill>
    </fill>
    <fill>
      <patternFill patternType="solid">
        <fgColor rgb="FF6464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/>
      <bottom/>
      <diagonal/>
    </border>
    <border>
      <left/>
      <right/>
      <top style="thin">
        <color rgb="FFFFC000"/>
      </top>
      <bottom/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 applyAlignment="0"/>
  </cellStyleXfs>
  <cellXfs count="58">
    <xf numFmtId="0" fontId="0" fillId="0" borderId="0" xfId="0" applyAlignment="1"/>
    <xf numFmtId="0" fontId="1" fillId="0" borderId="0" xfId="0" applyFont="1" applyAlignment="1"/>
    <xf numFmtId="0" fontId="0" fillId="0" borderId="0" xfId="0" applyAlignment="1">
      <alignment horizontal="center"/>
    </xf>
    <xf numFmtId="2" fontId="0" fillId="0" borderId="0" xfId="0" applyNumberFormat="1" applyAlignment="1"/>
    <xf numFmtId="0" fontId="0" fillId="0" borderId="1" xfId="0" applyBorder="1" applyAlignment="1">
      <alignment horizontal="center" textRotation="90"/>
    </xf>
    <xf numFmtId="0" fontId="0" fillId="2" borderId="0" xfId="0" applyFill="1" applyAlignment="1"/>
    <xf numFmtId="2" fontId="0" fillId="3" borderId="0" xfId="0" applyNumberFormat="1" applyFill="1" applyAlignment="1"/>
    <xf numFmtId="0" fontId="0" fillId="4" borderId="0" xfId="0" applyFill="1" applyAlignment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/>
    <xf numFmtId="0" fontId="9" fillId="0" borderId="0" xfId="0" applyFont="1" applyAlignment="1"/>
    <xf numFmtId="0" fontId="0" fillId="5" borderId="2" xfId="0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5" borderId="5" xfId="0" applyFill="1" applyBorder="1" applyAlignment="1"/>
    <xf numFmtId="0" fontId="0" fillId="0" borderId="6" xfId="0" applyBorder="1" applyAlignment="1"/>
    <xf numFmtId="0" fontId="0" fillId="5" borderId="7" xfId="0" applyFill="1" applyBorder="1" applyAlignment="1"/>
    <xf numFmtId="0" fontId="0" fillId="0" borderId="0" xfId="0"/>
    <xf numFmtId="0" fontId="5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0" fontId="4" fillId="0" borderId="0" xfId="0" applyFont="1" applyAlignment="1"/>
    <xf numFmtId="0" fontId="0" fillId="0" borderId="0" xfId="0" applyAlignment="1">
      <alignment horizontal="right"/>
    </xf>
    <xf numFmtId="0" fontId="0" fillId="7" borderId="0" xfId="0" applyFill="1" applyAlignment="1">
      <alignment horizontal="right"/>
    </xf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10" fillId="7" borderId="0" xfId="0" applyFont="1" applyFill="1" applyAlignment="1"/>
    <xf numFmtId="0" fontId="10" fillId="8" borderId="0" xfId="0" applyFont="1" applyFill="1" applyAlignment="1"/>
    <xf numFmtId="0" fontId="10" fillId="7" borderId="0" xfId="0" applyFont="1" applyFill="1" applyAlignment="1">
      <alignment horizontal="right"/>
    </xf>
    <xf numFmtId="0" fontId="11" fillId="7" borderId="0" xfId="0" applyFont="1" applyFill="1" applyAlignment="1"/>
    <xf numFmtId="0" fontId="11" fillId="8" borderId="0" xfId="0" applyFont="1" applyFill="1" applyAlignment="1"/>
    <xf numFmtId="0" fontId="11" fillId="7" borderId="0" xfId="0" applyFont="1" applyFill="1" applyAlignment="1">
      <alignment horizontal="right"/>
    </xf>
    <xf numFmtId="0" fontId="7" fillId="7" borderId="0" xfId="0" applyFont="1" applyFill="1" applyAlignment="1"/>
    <xf numFmtId="0" fontId="7" fillId="8" borderId="0" xfId="0" applyFont="1" applyFill="1" applyAlignment="1"/>
    <xf numFmtId="0" fontId="11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11" fillId="0" borderId="0" xfId="0" applyFont="1" applyAlignment="1"/>
    <xf numFmtId="0" fontId="10" fillId="0" borderId="0" xfId="0" applyFont="1" applyAlignment="1"/>
    <xf numFmtId="0" fontId="0" fillId="10" borderId="0" xfId="0" applyFill="1" applyAlignment="1">
      <alignment horizontal="right"/>
    </xf>
    <xf numFmtId="0" fontId="0" fillId="10" borderId="0" xfId="0" applyFill="1" applyAlignment="1"/>
    <xf numFmtId="0" fontId="7" fillId="10" borderId="0" xfId="0" applyFont="1" applyFill="1" applyAlignment="1">
      <alignment horizontal="right"/>
    </xf>
    <xf numFmtId="2" fontId="0" fillId="11" borderId="0" xfId="0" applyNumberFormat="1" applyFill="1" applyAlignment="1"/>
    <xf numFmtId="0" fontId="0" fillId="0" borderId="0" xfId="0" applyAlignment="1"/>
    <xf numFmtId="0" fontId="0" fillId="0" borderId="0" xfId="0" applyAlignment="1">
      <alignment horizontal="center"/>
    </xf>
    <xf numFmtId="0" fontId="4" fillId="10" borderId="8" xfId="0" applyFont="1" applyFill="1" applyBorder="1" applyAlignment="1">
      <alignment horizontal="center" vertical="top"/>
    </xf>
    <xf numFmtId="0" fontId="4" fillId="10" borderId="9" xfId="0" applyFont="1" applyFill="1" applyBorder="1" applyAlignment="1">
      <alignment horizontal="center" vertical="top"/>
    </xf>
    <xf numFmtId="0" fontId="4" fillId="10" borderId="10" xfId="0" applyFont="1" applyFill="1" applyBorder="1" applyAlignment="1">
      <alignment horizontal="center" vertical="top"/>
    </xf>
    <xf numFmtId="0" fontId="4" fillId="6" borderId="8" xfId="0" applyFont="1" applyFill="1" applyBorder="1" applyAlignment="1">
      <alignment horizontal="center" vertical="top"/>
    </xf>
    <xf numFmtId="0" fontId="4" fillId="6" borderId="9" xfId="0" applyFont="1" applyFill="1" applyBorder="1" applyAlignment="1">
      <alignment horizontal="center" vertical="top"/>
    </xf>
    <xf numFmtId="0" fontId="4" fillId="6" borderId="10" xfId="0" applyFont="1" applyFill="1" applyBorder="1" applyAlignment="1">
      <alignment horizontal="center" vertical="top"/>
    </xf>
    <xf numFmtId="0" fontId="0" fillId="12" borderId="0" xfId="0" applyFill="1" applyAlignment="1"/>
    <xf numFmtId="0" fontId="0" fillId="12" borderId="0" xfId="0" applyFill="1"/>
    <xf numFmtId="0" fontId="4" fillId="0" borderId="0" xfId="0" quotePrefix="1" applyFont="1" applyAlignment="1"/>
    <xf numFmtId="0" fontId="12" fillId="0" borderId="0" xfId="0" applyFont="1" applyAlignment="1"/>
    <xf numFmtId="0" fontId="13" fillId="0" borderId="0" xfId="0" applyFont="1" applyAlignment="1"/>
    <xf numFmtId="0" fontId="1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4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6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85724</xdr:colOff>
      <xdr:row>5</xdr:row>
      <xdr:rowOff>98915</xdr:rowOff>
    </xdr:from>
    <xdr:to>
      <xdr:col>8</xdr:col>
      <xdr:colOff>133350</xdr:colOff>
      <xdr:row>20</xdr:row>
      <xdr:rowOff>63444</xdr:rowOff>
    </xdr:to>
    <xdr:pic>
      <xdr:nvPicPr>
        <xdr:cNvPr id="1162" name="Picture 14" descr="A44F_b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3899" y="1060940"/>
          <a:ext cx="1828801" cy="29744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161925</xdr:colOff>
          <xdr:row>14</xdr:row>
          <xdr:rowOff>190500</xdr:rowOff>
        </xdr:from>
        <xdr:to>
          <xdr:col>32</xdr:col>
          <xdr:colOff>304800</xdr:colOff>
          <xdr:row>14</xdr:row>
          <xdr:rowOff>504825</xdr:rowOff>
        </xdr:to>
        <xdr:sp macro="" textlink="">
          <xdr:nvSpPr>
            <xdr:cNvPr id="1027" name="btn_esquerda_A44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C67EBC0-B6FD-27E5-FBC8-F943B5BAD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9525</xdr:rowOff>
        </xdr:from>
        <xdr:to>
          <xdr:col>14</xdr:col>
          <xdr:colOff>19050</xdr:colOff>
          <xdr:row>16</xdr:row>
          <xdr:rowOff>19050</xdr:rowOff>
        </xdr:to>
        <xdr:sp macro="" textlink="">
          <xdr:nvSpPr>
            <xdr:cNvPr id="1028" name="opt_slitter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DFD8543-017A-102C-9B19-D731E8316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</xdr:row>
          <xdr:rowOff>9525</xdr:rowOff>
        </xdr:from>
        <xdr:to>
          <xdr:col>16</xdr:col>
          <xdr:colOff>19050</xdr:colOff>
          <xdr:row>16</xdr:row>
          <xdr:rowOff>19050</xdr:rowOff>
        </xdr:to>
        <xdr:sp macro="" textlink="">
          <xdr:nvSpPr>
            <xdr:cNvPr id="1029" name="opt_slitter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0B62463-9886-E960-4FB9-8A8898692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9525</xdr:rowOff>
        </xdr:from>
        <xdr:to>
          <xdr:col>18</xdr:col>
          <xdr:colOff>19050</xdr:colOff>
          <xdr:row>16</xdr:row>
          <xdr:rowOff>19050</xdr:rowOff>
        </xdr:to>
        <xdr:sp macro="" textlink="">
          <xdr:nvSpPr>
            <xdr:cNvPr id="1030" name="opt_slitter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91AD779-53E8-7F9F-5A6F-33F7F4412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15</xdr:row>
          <xdr:rowOff>9525</xdr:rowOff>
        </xdr:from>
        <xdr:to>
          <xdr:col>20</xdr:col>
          <xdr:colOff>19050</xdr:colOff>
          <xdr:row>16</xdr:row>
          <xdr:rowOff>19050</xdr:rowOff>
        </xdr:to>
        <xdr:sp macro="" textlink="">
          <xdr:nvSpPr>
            <xdr:cNvPr id="1031" name="opt_slitter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DAE22627-0A3B-1791-852E-B3A4CA0BD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</xdr:row>
          <xdr:rowOff>9525</xdr:rowOff>
        </xdr:from>
        <xdr:to>
          <xdr:col>22</xdr:col>
          <xdr:colOff>19050</xdr:colOff>
          <xdr:row>16</xdr:row>
          <xdr:rowOff>19050</xdr:rowOff>
        </xdr:to>
        <xdr:sp macro="" textlink="">
          <xdr:nvSpPr>
            <xdr:cNvPr id="1032" name="opt_slitter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40E60E0-B54C-E802-5D4E-3E3707E79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15</xdr:row>
          <xdr:rowOff>9525</xdr:rowOff>
        </xdr:from>
        <xdr:to>
          <xdr:col>24</xdr:col>
          <xdr:colOff>19050</xdr:colOff>
          <xdr:row>16</xdr:row>
          <xdr:rowOff>19050</xdr:rowOff>
        </xdr:to>
        <xdr:sp macro="" textlink="">
          <xdr:nvSpPr>
            <xdr:cNvPr id="1033" name="opt_slitter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147BD99F-1714-114E-BA3F-0FCFEF85C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15</xdr:row>
          <xdr:rowOff>9525</xdr:rowOff>
        </xdr:from>
        <xdr:to>
          <xdr:col>26</xdr:col>
          <xdr:colOff>28575</xdr:colOff>
          <xdr:row>16</xdr:row>
          <xdr:rowOff>19050</xdr:rowOff>
        </xdr:to>
        <xdr:sp macro="" textlink="">
          <xdr:nvSpPr>
            <xdr:cNvPr id="1034" name="opt_slitter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778AEA9-22ED-9ACF-CBB4-8A789DDFA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15</xdr:row>
          <xdr:rowOff>9525</xdr:rowOff>
        </xdr:from>
        <xdr:to>
          <xdr:col>28</xdr:col>
          <xdr:colOff>28575</xdr:colOff>
          <xdr:row>16</xdr:row>
          <xdr:rowOff>19050</xdr:rowOff>
        </xdr:to>
        <xdr:sp macro="" textlink="">
          <xdr:nvSpPr>
            <xdr:cNvPr id="1035" name="opt_slitter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F795E59-581B-9E71-1FA5-6FCE330D2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15</xdr:row>
          <xdr:rowOff>9525</xdr:rowOff>
        </xdr:from>
        <xdr:to>
          <xdr:col>30</xdr:col>
          <xdr:colOff>19050</xdr:colOff>
          <xdr:row>16</xdr:row>
          <xdr:rowOff>19050</xdr:rowOff>
        </xdr:to>
        <xdr:sp macro="" textlink="">
          <xdr:nvSpPr>
            <xdr:cNvPr id="1036" name="opt_slitter9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366A04-184B-4992-A1A9-23BBE20D9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161925</xdr:colOff>
          <xdr:row>14</xdr:row>
          <xdr:rowOff>190500</xdr:rowOff>
        </xdr:from>
        <xdr:to>
          <xdr:col>34</xdr:col>
          <xdr:colOff>228600</xdr:colOff>
          <xdr:row>14</xdr:row>
          <xdr:rowOff>504825</xdr:rowOff>
        </xdr:to>
        <xdr:sp macro="" textlink="">
          <xdr:nvSpPr>
            <xdr:cNvPr id="1037" name="btn_direita_A44F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3464FF3-9978-9FDB-AC7F-5D3E11F88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171450</xdr:colOff>
          <xdr:row>8</xdr:row>
          <xdr:rowOff>561975</xdr:rowOff>
        </xdr:from>
        <xdr:to>
          <xdr:col>38</xdr:col>
          <xdr:colOff>0</xdr:colOff>
          <xdr:row>11</xdr:row>
          <xdr:rowOff>38100</xdr:rowOff>
        </xdr:to>
        <xdr:sp macro="" textlink="">
          <xdr:nvSpPr>
            <xdr:cNvPr id="1048" name="m_cmdSlittersZeros_A44F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64E02F32-3A34-C9CD-95CF-B49D27424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21</xdr:row>
          <xdr:rowOff>200025</xdr:rowOff>
        </xdr:from>
        <xdr:to>
          <xdr:col>9</xdr:col>
          <xdr:colOff>57150</xdr:colOff>
          <xdr:row>25</xdr:row>
          <xdr:rowOff>133350</xdr:rowOff>
        </xdr:to>
        <xdr:sp macro="" textlink="">
          <xdr:nvSpPr>
            <xdr:cNvPr id="1060" name="m_cmdMachineValUpdate_A44F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DE279492-51AD-61FE-6554-A743C0E25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161925</xdr:colOff>
          <xdr:row>14</xdr:row>
          <xdr:rowOff>190500</xdr:rowOff>
        </xdr:from>
        <xdr:to>
          <xdr:col>32</xdr:col>
          <xdr:colOff>304800</xdr:colOff>
          <xdr:row>14</xdr:row>
          <xdr:rowOff>504825</xdr:rowOff>
        </xdr:to>
        <xdr:sp macro="" textlink="">
          <xdr:nvSpPr>
            <xdr:cNvPr id="3073" name="btn_esquerda_A42F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4A6F8AE-9CEB-1F7F-2104-58F09D9F6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9525</xdr:rowOff>
        </xdr:from>
        <xdr:to>
          <xdr:col>14</xdr:col>
          <xdr:colOff>19050</xdr:colOff>
          <xdr:row>16</xdr:row>
          <xdr:rowOff>19050</xdr:rowOff>
        </xdr:to>
        <xdr:sp macro="" textlink="">
          <xdr:nvSpPr>
            <xdr:cNvPr id="3074" name="opt_slitter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ECD3FAB-5A7A-F705-FD07-56EE5B416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</xdr:row>
          <xdr:rowOff>9525</xdr:rowOff>
        </xdr:from>
        <xdr:to>
          <xdr:col>16</xdr:col>
          <xdr:colOff>19050</xdr:colOff>
          <xdr:row>16</xdr:row>
          <xdr:rowOff>19050</xdr:rowOff>
        </xdr:to>
        <xdr:sp macro="" textlink="">
          <xdr:nvSpPr>
            <xdr:cNvPr id="3075" name="opt_slitter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7E58C95-2055-A8A7-C7BD-3D1954041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9525</xdr:rowOff>
        </xdr:from>
        <xdr:to>
          <xdr:col>18</xdr:col>
          <xdr:colOff>19050</xdr:colOff>
          <xdr:row>16</xdr:row>
          <xdr:rowOff>19050</xdr:rowOff>
        </xdr:to>
        <xdr:sp macro="" textlink="">
          <xdr:nvSpPr>
            <xdr:cNvPr id="3076" name="opt_slitter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4193CC2-1FA0-ADDC-362E-27310C970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15</xdr:row>
          <xdr:rowOff>9525</xdr:rowOff>
        </xdr:from>
        <xdr:to>
          <xdr:col>20</xdr:col>
          <xdr:colOff>19050</xdr:colOff>
          <xdr:row>16</xdr:row>
          <xdr:rowOff>19050</xdr:rowOff>
        </xdr:to>
        <xdr:sp macro="" textlink="">
          <xdr:nvSpPr>
            <xdr:cNvPr id="3077" name="opt_slitter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EA2C4BF9-4A79-E181-A634-D8EAA28BF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</xdr:row>
          <xdr:rowOff>9525</xdr:rowOff>
        </xdr:from>
        <xdr:to>
          <xdr:col>22</xdr:col>
          <xdr:colOff>19050</xdr:colOff>
          <xdr:row>16</xdr:row>
          <xdr:rowOff>19050</xdr:rowOff>
        </xdr:to>
        <xdr:sp macro="" textlink="">
          <xdr:nvSpPr>
            <xdr:cNvPr id="3078" name="opt_slitter5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85C8C8AD-763F-B083-BE43-A4A0F6642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419100</xdr:colOff>
          <xdr:row>15</xdr:row>
          <xdr:rowOff>9525</xdr:rowOff>
        </xdr:from>
        <xdr:to>
          <xdr:col>24</xdr:col>
          <xdr:colOff>9525</xdr:colOff>
          <xdr:row>16</xdr:row>
          <xdr:rowOff>19050</xdr:rowOff>
        </xdr:to>
        <xdr:sp macro="" textlink="">
          <xdr:nvSpPr>
            <xdr:cNvPr id="3079" name="opt_slitter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7BF0E536-D4B3-DE45-C9D4-1CCB2E15B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15</xdr:row>
          <xdr:rowOff>9525</xdr:rowOff>
        </xdr:from>
        <xdr:to>
          <xdr:col>26</xdr:col>
          <xdr:colOff>28575</xdr:colOff>
          <xdr:row>16</xdr:row>
          <xdr:rowOff>19050</xdr:rowOff>
        </xdr:to>
        <xdr:sp macro="" textlink="">
          <xdr:nvSpPr>
            <xdr:cNvPr id="3080" name="opt_slitter7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77366ED2-8214-6A38-BC32-A4DC0450C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15</xdr:row>
          <xdr:rowOff>9525</xdr:rowOff>
        </xdr:from>
        <xdr:to>
          <xdr:col>28</xdr:col>
          <xdr:colOff>28575</xdr:colOff>
          <xdr:row>16</xdr:row>
          <xdr:rowOff>19050</xdr:rowOff>
        </xdr:to>
        <xdr:sp macro="" textlink="">
          <xdr:nvSpPr>
            <xdr:cNvPr id="3081" name="opt_slitter8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C8B9EE76-084E-09F6-1029-00AA3ABA1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15</xdr:row>
          <xdr:rowOff>9525</xdr:rowOff>
        </xdr:from>
        <xdr:to>
          <xdr:col>30</xdr:col>
          <xdr:colOff>19050</xdr:colOff>
          <xdr:row>16</xdr:row>
          <xdr:rowOff>19050</xdr:rowOff>
        </xdr:to>
        <xdr:sp macro="" textlink="">
          <xdr:nvSpPr>
            <xdr:cNvPr id="3082" name="opt_slitter9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FE817400-4812-070C-3FA0-F85469A4D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161925</xdr:colOff>
          <xdr:row>14</xdr:row>
          <xdr:rowOff>190500</xdr:rowOff>
        </xdr:from>
        <xdr:to>
          <xdr:col>34</xdr:col>
          <xdr:colOff>228600</xdr:colOff>
          <xdr:row>14</xdr:row>
          <xdr:rowOff>504825</xdr:rowOff>
        </xdr:to>
        <xdr:sp macro="" textlink="">
          <xdr:nvSpPr>
            <xdr:cNvPr id="3083" name="btn_direita_A42F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739068A6-D8A6-477F-BEF3-5744E639B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171450</xdr:colOff>
          <xdr:row>8</xdr:row>
          <xdr:rowOff>561975</xdr:rowOff>
        </xdr:from>
        <xdr:to>
          <xdr:col>38</xdr:col>
          <xdr:colOff>0</xdr:colOff>
          <xdr:row>11</xdr:row>
          <xdr:rowOff>38100</xdr:rowOff>
        </xdr:to>
        <xdr:sp macro="" textlink="">
          <xdr:nvSpPr>
            <xdr:cNvPr id="3084" name="m_cmdSlittersZeros_A42F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3BD2FEB3-948D-B6FE-4B93-61AB96410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21</xdr:row>
          <xdr:rowOff>190500</xdr:rowOff>
        </xdr:from>
        <xdr:to>
          <xdr:col>9</xdr:col>
          <xdr:colOff>57150</xdr:colOff>
          <xdr:row>25</xdr:row>
          <xdr:rowOff>123825</xdr:rowOff>
        </xdr:to>
        <xdr:sp macro="" textlink="">
          <xdr:nvSpPr>
            <xdr:cNvPr id="3085" name="m_cmdMachineValUpdate_A42F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BA1A06B-AB67-360C-4640-ED662D51A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161925</xdr:colOff>
          <xdr:row>14</xdr:row>
          <xdr:rowOff>190500</xdr:rowOff>
        </xdr:from>
        <xdr:to>
          <xdr:col>32</xdr:col>
          <xdr:colOff>304800</xdr:colOff>
          <xdr:row>14</xdr:row>
          <xdr:rowOff>504825</xdr:rowOff>
        </xdr:to>
        <xdr:sp macro="" textlink="">
          <xdr:nvSpPr>
            <xdr:cNvPr id="4097" name="btn_esquerda_L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2A16FBA-BAFC-B478-E7D9-E0135CECE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9525</xdr:rowOff>
        </xdr:from>
        <xdr:to>
          <xdr:col>14</xdr:col>
          <xdr:colOff>19050</xdr:colOff>
          <xdr:row>16</xdr:row>
          <xdr:rowOff>19050</xdr:rowOff>
        </xdr:to>
        <xdr:sp macro="" textlink="">
          <xdr:nvSpPr>
            <xdr:cNvPr id="4098" name="opt_slitter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C12DE43D-C1A3-2087-2306-987E18FB4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</xdr:row>
          <xdr:rowOff>9525</xdr:rowOff>
        </xdr:from>
        <xdr:to>
          <xdr:col>16</xdr:col>
          <xdr:colOff>19050</xdr:colOff>
          <xdr:row>16</xdr:row>
          <xdr:rowOff>19050</xdr:rowOff>
        </xdr:to>
        <xdr:sp macro="" textlink="">
          <xdr:nvSpPr>
            <xdr:cNvPr id="4099" name="opt_slitter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5ECC9456-0F87-B933-5E3E-DEAFD5B37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9525</xdr:rowOff>
        </xdr:from>
        <xdr:to>
          <xdr:col>18</xdr:col>
          <xdr:colOff>19050</xdr:colOff>
          <xdr:row>16</xdr:row>
          <xdr:rowOff>19050</xdr:rowOff>
        </xdr:to>
        <xdr:sp macro="" textlink="">
          <xdr:nvSpPr>
            <xdr:cNvPr id="4100" name="opt_slitter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CF43BAEC-3CA8-E1E1-D46C-17C840980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15</xdr:row>
          <xdr:rowOff>9525</xdr:rowOff>
        </xdr:from>
        <xdr:to>
          <xdr:col>20</xdr:col>
          <xdr:colOff>19050</xdr:colOff>
          <xdr:row>16</xdr:row>
          <xdr:rowOff>19050</xdr:rowOff>
        </xdr:to>
        <xdr:sp macro="" textlink="">
          <xdr:nvSpPr>
            <xdr:cNvPr id="4101" name="opt_slitter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AD4E7D0A-0FCE-3103-15AE-A9AA8D9C5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</xdr:row>
          <xdr:rowOff>9525</xdr:rowOff>
        </xdr:from>
        <xdr:to>
          <xdr:col>22</xdr:col>
          <xdr:colOff>19050</xdr:colOff>
          <xdr:row>16</xdr:row>
          <xdr:rowOff>19050</xdr:rowOff>
        </xdr:to>
        <xdr:sp macro="" textlink="">
          <xdr:nvSpPr>
            <xdr:cNvPr id="4102" name="opt_slitter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EE9B95E0-8BF6-4936-8921-ABD329BBC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419100</xdr:colOff>
          <xdr:row>15</xdr:row>
          <xdr:rowOff>9525</xdr:rowOff>
        </xdr:from>
        <xdr:to>
          <xdr:col>24</xdr:col>
          <xdr:colOff>9525</xdr:colOff>
          <xdr:row>16</xdr:row>
          <xdr:rowOff>19050</xdr:rowOff>
        </xdr:to>
        <xdr:sp macro="" textlink="">
          <xdr:nvSpPr>
            <xdr:cNvPr id="4103" name="opt_slitter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758C5312-10A7-EB78-08EB-A3FCCBF02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15</xdr:row>
          <xdr:rowOff>9525</xdr:rowOff>
        </xdr:from>
        <xdr:to>
          <xdr:col>26</xdr:col>
          <xdr:colOff>28575</xdr:colOff>
          <xdr:row>16</xdr:row>
          <xdr:rowOff>19050</xdr:rowOff>
        </xdr:to>
        <xdr:sp macro="" textlink="">
          <xdr:nvSpPr>
            <xdr:cNvPr id="4104" name="opt_slitter7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677BC408-55E4-AC4E-7651-EBB3834EA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15</xdr:row>
          <xdr:rowOff>9525</xdr:rowOff>
        </xdr:from>
        <xdr:to>
          <xdr:col>28</xdr:col>
          <xdr:colOff>28575</xdr:colOff>
          <xdr:row>16</xdr:row>
          <xdr:rowOff>19050</xdr:rowOff>
        </xdr:to>
        <xdr:sp macro="" textlink="">
          <xdr:nvSpPr>
            <xdr:cNvPr id="4105" name="opt_slitter8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E7110594-BC65-AEFD-BB82-45DE38F15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15</xdr:row>
          <xdr:rowOff>9525</xdr:rowOff>
        </xdr:from>
        <xdr:to>
          <xdr:col>30</xdr:col>
          <xdr:colOff>19050</xdr:colOff>
          <xdr:row>16</xdr:row>
          <xdr:rowOff>19050</xdr:rowOff>
        </xdr:to>
        <xdr:sp macro="" textlink="">
          <xdr:nvSpPr>
            <xdr:cNvPr id="4106" name="opt_slitter9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1C6DB1DD-4959-A5C4-BC65-C599BA72C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161925</xdr:colOff>
          <xdr:row>14</xdr:row>
          <xdr:rowOff>190500</xdr:rowOff>
        </xdr:from>
        <xdr:to>
          <xdr:col>34</xdr:col>
          <xdr:colOff>228600</xdr:colOff>
          <xdr:row>14</xdr:row>
          <xdr:rowOff>504825</xdr:rowOff>
        </xdr:to>
        <xdr:sp macro="" textlink="">
          <xdr:nvSpPr>
            <xdr:cNvPr id="4107" name="btn_direita_L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AA0C2CAF-1E00-C0F6-1CF6-CBC32C949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171450</xdr:colOff>
          <xdr:row>8</xdr:row>
          <xdr:rowOff>561975</xdr:rowOff>
        </xdr:from>
        <xdr:to>
          <xdr:col>38</xdr:col>
          <xdr:colOff>0</xdr:colOff>
          <xdr:row>11</xdr:row>
          <xdr:rowOff>38100</xdr:rowOff>
        </xdr:to>
        <xdr:sp macro="" textlink="">
          <xdr:nvSpPr>
            <xdr:cNvPr id="4108" name="m_cmdSlittersZeros_LT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DFC1C348-9823-770A-6AF9-FE5C76B09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21</xdr:row>
          <xdr:rowOff>190500</xdr:rowOff>
        </xdr:from>
        <xdr:to>
          <xdr:col>9</xdr:col>
          <xdr:colOff>57150</xdr:colOff>
          <xdr:row>25</xdr:row>
          <xdr:rowOff>123825</xdr:rowOff>
        </xdr:to>
        <xdr:sp macro="" textlink="">
          <xdr:nvSpPr>
            <xdr:cNvPr id="4109" name="m_cmdMachineValUpdate_LT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60AAC108-DBB2-3817-F3C2-1FE7DD7F3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161925</xdr:colOff>
          <xdr:row>14</xdr:row>
          <xdr:rowOff>190500</xdr:rowOff>
        </xdr:from>
        <xdr:to>
          <xdr:col>32</xdr:col>
          <xdr:colOff>304800</xdr:colOff>
          <xdr:row>14</xdr:row>
          <xdr:rowOff>504825</xdr:rowOff>
        </xdr:to>
        <xdr:sp macro="" textlink="">
          <xdr:nvSpPr>
            <xdr:cNvPr id="5121" name="btn_esquerda_SW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6F182B5-8E5F-CB84-113F-F7DCDF8E9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9525</xdr:rowOff>
        </xdr:from>
        <xdr:to>
          <xdr:col>14</xdr:col>
          <xdr:colOff>19050</xdr:colOff>
          <xdr:row>16</xdr:row>
          <xdr:rowOff>19050</xdr:rowOff>
        </xdr:to>
        <xdr:sp macro="" textlink="">
          <xdr:nvSpPr>
            <xdr:cNvPr id="5122" name="opt_slitter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2827EC0F-16D6-CC12-AAF2-9FDDE23D8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15</xdr:row>
          <xdr:rowOff>9525</xdr:rowOff>
        </xdr:from>
        <xdr:to>
          <xdr:col>16</xdr:col>
          <xdr:colOff>19050</xdr:colOff>
          <xdr:row>16</xdr:row>
          <xdr:rowOff>19050</xdr:rowOff>
        </xdr:to>
        <xdr:sp macro="" textlink="">
          <xdr:nvSpPr>
            <xdr:cNvPr id="5123" name="opt_slitter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16F96A9-4CBD-13AF-CD83-AC25EF2E7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9525</xdr:rowOff>
        </xdr:from>
        <xdr:to>
          <xdr:col>18</xdr:col>
          <xdr:colOff>19050</xdr:colOff>
          <xdr:row>16</xdr:row>
          <xdr:rowOff>19050</xdr:rowOff>
        </xdr:to>
        <xdr:sp macro="" textlink="">
          <xdr:nvSpPr>
            <xdr:cNvPr id="5124" name="opt_slitter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20954E90-7965-549E-2C68-1FC766E64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15</xdr:row>
          <xdr:rowOff>9525</xdr:rowOff>
        </xdr:from>
        <xdr:to>
          <xdr:col>20</xdr:col>
          <xdr:colOff>19050</xdr:colOff>
          <xdr:row>16</xdr:row>
          <xdr:rowOff>19050</xdr:rowOff>
        </xdr:to>
        <xdr:sp macro="" textlink="">
          <xdr:nvSpPr>
            <xdr:cNvPr id="5125" name="opt_slitter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5F7987D9-F5CF-4E8A-9ECA-C3A5947B6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</xdr:row>
          <xdr:rowOff>9525</xdr:rowOff>
        </xdr:from>
        <xdr:to>
          <xdr:col>22</xdr:col>
          <xdr:colOff>19050</xdr:colOff>
          <xdr:row>16</xdr:row>
          <xdr:rowOff>19050</xdr:rowOff>
        </xdr:to>
        <xdr:sp macro="" textlink="">
          <xdr:nvSpPr>
            <xdr:cNvPr id="5126" name="opt_slitter5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ACB32B1A-1E64-74E6-1640-689FD3DF2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419100</xdr:colOff>
          <xdr:row>15</xdr:row>
          <xdr:rowOff>9525</xdr:rowOff>
        </xdr:from>
        <xdr:to>
          <xdr:col>24</xdr:col>
          <xdr:colOff>9525</xdr:colOff>
          <xdr:row>16</xdr:row>
          <xdr:rowOff>19050</xdr:rowOff>
        </xdr:to>
        <xdr:sp macro="" textlink="">
          <xdr:nvSpPr>
            <xdr:cNvPr id="5127" name="opt_slitter6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8DD1F8E5-5059-26D4-604B-4B36C61DB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15</xdr:row>
          <xdr:rowOff>9525</xdr:rowOff>
        </xdr:from>
        <xdr:to>
          <xdr:col>26</xdr:col>
          <xdr:colOff>28575</xdr:colOff>
          <xdr:row>16</xdr:row>
          <xdr:rowOff>19050</xdr:rowOff>
        </xdr:to>
        <xdr:sp macro="" textlink="">
          <xdr:nvSpPr>
            <xdr:cNvPr id="5128" name="opt_slitter7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FF907BF3-DECD-2F1A-56D1-1F1FCEC82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15</xdr:row>
          <xdr:rowOff>9525</xdr:rowOff>
        </xdr:from>
        <xdr:to>
          <xdr:col>28</xdr:col>
          <xdr:colOff>28575</xdr:colOff>
          <xdr:row>16</xdr:row>
          <xdr:rowOff>19050</xdr:rowOff>
        </xdr:to>
        <xdr:sp macro="" textlink="">
          <xdr:nvSpPr>
            <xdr:cNvPr id="5129" name="opt_slitter8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ABEF32BC-6DCA-90A4-63FE-07D87FB83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15</xdr:row>
          <xdr:rowOff>9525</xdr:rowOff>
        </xdr:from>
        <xdr:to>
          <xdr:col>30</xdr:col>
          <xdr:colOff>19050</xdr:colOff>
          <xdr:row>16</xdr:row>
          <xdr:rowOff>19050</xdr:rowOff>
        </xdr:to>
        <xdr:sp macro="" textlink="">
          <xdr:nvSpPr>
            <xdr:cNvPr id="5130" name="opt_slitter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3B1B0504-FC22-1B90-34DD-2E0620247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161925</xdr:colOff>
          <xdr:row>14</xdr:row>
          <xdr:rowOff>190500</xdr:rowOff>
        </xdr:from>
        <xdr:to>
          <xdr:col>34</xdr:col>
          <xdr:colOff>228600</xdr:colOff>
          <xdr:row>14</xdr:row>
          <xdr:rowOff>504825</xdr:rowOff>
        </xdr:to>
        <xdr:sp macro="" textlink="">
          <xdr:nvSpPr>
            <xdr:cNvPr id="5131" name="btn_direita_SW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FC66E681-AE34-05AF-FFDE-31AAB06C7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171450</xdr:colOff>
          <xdr:row>8</xdr:row>
          <xdr:rowOff>561975</xdr:rowOff>
        </xdr:from>
        <xdr:to>
          <xdr:col>38</xdr:col>
          <xdr:colOff>0</xdr:colOff>
          <xdr:row>11</xdr:row>
          <xdr:rowOff>38100</xdr:rowOff>
        </xdr:to>
        <xdr:sp macro="" textlink="">
          <xdr:nvSpPr>
            <xdr:cNvPr id="5132" name="m_cmdSlittersZeros_SW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6E6D602A-7B98-FF26-35FE-754B1D0C0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21</xdr:row>
          <xdr:rowOff>180975</xdr:rowOff>
        </xdr:from>
        <xdr:to>
          <xdr:col>10</xdr:col>
          <xdr:colOff>238125</xdr:colOff>
          <xdr:row>25</xdr:row>
          <xdr:rowOff>114300</xdr:rowOff>
        </xdr:to>
        <xdr:sp macro="" textlink="">
          <xdr:nvSpPr>
            <xdr:cNvPr id="5133" name="m_cmdMachineValUpdate_SW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9DD75ED3-68B3-0A66-CC86-62CE96B31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anCQS/Programme/MessEng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anCQS/Programme/LochEng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SS"/>
      <sheetName val="Quality"/>
      <sheetName val="Size"/>
      <sheetName val="Resultlist"/>
      <sheetName val="Auditlist"/>
      <sheetName val="CC front"/>
      <sheetName val="CC rear"/>
      <sheetName val="SL left"/>
      <sheetName val="Length"/>
      <sheetName val="SL right"/>
      <sheetName val="Width"/>
      <sheetName val="Squareness"/>
      <sheetName val="Calculate"/>
      <sheetName val="CalcAudit"/>
      <sheetName val="DAT"/>
      <sheetName val="Sheet1"/>
      <sheetName val="Compatibility Report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>
        <row r="1">
          <cell r="U1">
            <v>297.39999999999998</v>
          </cell>
          <cell r="V1">
            <v>210.4</v>
          </cell>
        </row>
        <row r="2">
          <cell r="U2">
            <v>297.39999999999998</v>
          </cell>
          <cell r="V2">
            <v>210.5</v>
          </cell>
        </row>
        <row r="3">
          <cell r="U3">
            <v>297.39999999999998</v>
          </cell>
          <cell r="V3">
            <v>210.4</v>
          </cell>
        </row>
        <row r="4">
          <cell r="U4">
            <v>297.39999999999998</v>
          </cell>
          <cell r="V4">
            <v>210.2</v>
          </cell>
        </row>
        <row r="5">
          <cell r="U5">
            <v>297.39999999999998</v>
          </cell>
          <cell r="V5">
            <v>210.2</v>
          </cell>
        </row>
        <row r="6">
          <cell r="U6">
            <v>297.39999999999998</v>
          </cell>
          <cell r="V6">
            <v>210.7</v>
          </cell>
        </row>
        <row r="7">
          <cell r="U7">
            <v>297.39999999999998</v>
          </cell>
          <cell r="V7">
            <v>210.6</v>
          </cell>
        </row>
        <row r="8">
          <cell r="U8">
            <v>297.39999999999998</v>
          </cell>
          <cell r="V8">
            <v>210</v>
          </cell>
        </row>
      </sheetData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CHDAT"/>
      <sheetName val="Punched Paper List"/>
      <sheetName val="Hole1"/>
      <sheetName val="Hole2"/>
      <sheetName val="Hole3"/>
      <sheetName val="Hole4"/>
      <sheetName val="Perforation"/>
      <sheetName val="Calculate"/>
      <sheetName val="DAT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V1">
            <v>6</v>
          </cell>
          <cell r="W1">
            <v>6.9</v>
          </cell>
          <cell r="X1">
            <v>9.1999999999999993</v>
          </cell>
          <cell r="Y1">
            <v>28.9</v>
          </cell>
          <cell r="Z1">
            <v>4</v>
          </cell>
          <cell r="AA1">
            <v>6.9</v>
          </cell>
          <cell r="AB1">
            <v>9.1999999999999993</v>
          </cell>
          <cell r="AC1">
            <v>109</v>
          </cell>
          <cell r="AD1">
            <v>5</v>
          </cell>
          <cell r="AE1">
            <v>6.9</v>
          </cell>
          <cell r="AF1">
            <v>9.1999999999999993</v>
          </cell>
          <cell r="AG1">
            <v>189.1</v>
          </cell>
          <cell r="AH1">
            <v>4</v>
          </cell>
          <cell r="AI1">
            <v>6.9</v>
          </cell>
          <cell r="AJ1">
            <v>9.1</v>
          </cell>
          <cell r="AK1">
            <v>269</v>
          </cell>
        </row>
        <row r="2">
          <cell r="V2">
            <v>8</v>
          </cell>
          <cell r="W2">
            <v>7</v>
          </cell>
          <cell r="X2">
            <v>9.3000000000000007</v>
          </cell>
          <cell r="Y2">
            <v>28.8</v>
          </cell>
          <cell r="Z2">
            <v>6</v>
          </cell>
          <cell r="AA2">
            <v>6.9</v>
          </cell>
          <cell r="AB2">
            <v>9.3000000000000007</v>
          </cell>
          <cell r="AC2">
            <v>108.9</v>
          </cell>
          <cell r="AD2">
            <v>8</v>
          </cell>
          <cell r="AE2">
            <v>7</v>
          </cell>
          <cell r="AF2">
            <v>9.3000000000000007</v>
          </cell>
          <cell r="AG2">
            <v>189</v>
          </cell>
          <cell r="AH2">
            <v>4.5</v>
          </cell>
          <cell r="AI2">
            <v>6.9</v>
          </cell>
          <cell r="AJ2">
            <v>9.3000000000000007</v>
          </cell>
          <cell r="AK2">
            <v>269</v>
          </cell>
        </row>
        <row r="3">
          <cell r="V3">
            <v>4</v>
          </cell>
          <cell r="W3">
            <v>6.9</v>
          </cell>
          <cell r="X3">
            <v>9.3000000000000007</v>
          </cell>
          <cell r="Y3">
            <v>28.8</v>
          </cell>
          <cell r="Z3">
            <v>3.5</v>
          </cell>
          <cell r="AA3">
            <v>7</v>
          </cell>
          <cell r="AB3">
            <v>9.3000000000000007</v>
          </cell>
          <cell r="AC3">
            <v>108.9</v>
          </cell>
          <cell r="AD3">
            <v>4</v>
          </cell>
          <cell r="AE3">
            <v>6.9</v>
          </cell>
          <cell r="AF3">
            <v>9.4</v>
          </cell>
          <cell r="AG3">
            <v>188.9</v>
          </cell>
          <cell r="AH3">
            <v>4</v>
          </cell>
          <cell r="AI3">
            <v>6.9</v>
          </cell>
          <cell r="AJ3">
            <v>9.4</v>
          </cell>
          <cell r="AK3">
            <v>268.89999999999998</v>
          </cell>
        </row>
        <row r="4">
          <cell r="V4">
            <v>8</v>
          </cell>
          <cell r="W4">
            <v>6.9</v>
          </cell>
          <cell r="X4">
            <v>9.6</v>
          </cell>
          <cell r="Y4">
            <v>28.7</v>
          </cell>
          <cell r="Z4">
            <v>6.5</v>
          </cell>
          <cell r="AA4">
            <v>6.9</v>
          </cell>
          <cell r="AB4">
            <v>9.6</v>
          </cell>
          <cell r="AC4">
            <v>108.8</v>
          </cell>
          <cell r="AD4">
            <v>4.5</v>
          </cell>
          <cell r="AE4">
            <v>6.9</v>
          </cell>
          <cell r="AF4">
            <v>9.6</v>
          </cell>
          <cell r="AG4">
            <v>188.9</v>
          </cell>
          <cell r="AH4">
            <v>3</v>
          </cell>
          <cell r="AI4">
            <v>6.9</v>
          </cell>
          <cell r="AJ4">
            <v>9.6</v>
          </cell>
          <cell r="AK4">
            <v>268.89999999999998</v>
          </cell>
        </row>
        <row r="5">
          <cell r="V5">
            <v>5.5</v>
          </cell>
          <cell r="W5">
            <v>6.9</v>
          </cell>
          <cell r="X5">
            <v>9.9</v>
          </cell>
          <cell r="Y5">
            <v>28.8</v>
          </cell>
          <cell r="Z5">
            <v>3.5</v>
          </cell>
          <cell r="AA5">
            <v>6.9</v>
          </cell>
          <cell r="AB5">
            <v>9.8000000000000007</v>
          </cell>
          <cell r="AC5">
            <v>108.7</v>
          </cell>
          <cell r="AD5">
            <v>4</v>
          </cell>
          <cell r="AE5">
            <v>6.9</v>
          </cell>
          <cell r="AF5">
            <v>9.9</v>
          </cell>
          <cell r="AG5">
            <v>188.8</v>
          </cell>
          <cell r="AH5">
            <v>3</v>
          </cell>
          <cell r="AI5">
            <v>6.9</v>
          </cell>
          <cell r="AJ5">
            <v>9.9</v>
          </cell>
          <cell r="AK5">
            <v>268.89999999999998</v>
          </cell>
        </row>
        <row r="6">
          <cell r="V6">
            <v>4</v>
          </cell>
          <cell r="W6">
            <v>6.9</v>
          </cell>
          <cell r="X6">
            <v>10.1</v>
          </cell>
          <cell r="Y6">
            <v>28.8</v>
          </cell>
          <cell r="Z6">
            <v>4</v>
          </cell>
          <cell r="AA6">
            <v>6.9</v>
          </cell>
          <cell r="AB6">
            <v>10.1</v>
          </cell>
          <cell r="AC6">
            <v>108.8</v>
          </cell>
          <cell r="AD6">
            <v>4</v>
          </cell>
          <cell r="AE6">
            <v>6.9</v>
          </cell>
          <cell r="AF6">
            <v>10.1</v>
          </cell>
          <cell r="AG6">
            <v>188.9</v>
          </cell>
          <cell r="AH6">
            <v>5</v>
          </cell>
          <cell r="AI6">
            <v>6.8</v>
          </cell>
          <cell r="AJ6">
            <v>10.1</v>
          </cell>
          <cell r="AK6">
            <v>268.89999999999998</v>
          </cell>
        </row>
        <row r="7">
          <cell r="V7">
            <v>3.5</v>
          </cell>
          <cell r="W7">
            <v>6.9</v>
          </cell>
          <cell r="X7">
            <v>9.9</v>
          </cell>
          <cell r="Y7">
            <v>28.8</v>
          </cell>
          <cell r="Z7">
            <v>6</v>
          </cell>
          <cell r="AA7">
            <v>6.9</v>
          </cell>
          <cell r="AB7">
            <v>9.9</v>
          </cell>
          <cell r="AC7">
            <v>108.8</v>
          </cell>
          <cell r="AD7">
            <v>8</v>
          </cell>
          <cell r="AE7">
            <v>6.9</v>
          </cell>
          <cell r="AF7">
            <v>9.9</v>
          </cell>
          <cell r="AG7">
            <v>189</v>
          </cell>
          <cell r="AH7">
            <v>3.5</v>
          </cell>
          <cell r="AI7">
            <v>6.8</v>
          </cell>
          <cell r="AJ7">
            <v>10</v>
          </cell>
          <cell r="AK7">
            <v>269</v>
          </cell>
        </row>
        <row r="8">
          <cell r="V8">
            <v>5</v>
          </cell>
          <cell r="W8">
            <v>6.9</v>
          </cell>
          <cell r="X8">
            <v>9.9</v>
          </cell>
          <cell r="Y8">
            <v>28.8</v>
          </cell>
          <cell r="Z8">
            <v>4.5</v>
          </cell>
          <cell r="AA8">
            <v>6.9</v>
          </cell>
          <cell r="AB8">
            <v>9.9</v>
          </cell>
          <cell r="AC8">
            <v>108.9</v>
          </cell>
          <cell r="AD8">
            <v>4.5</v>
          </cell>
          <cell r="AE8">
            <v>6.8</v>
          </cell>
          <cell r="AF8">
            <v>9.9</v>
          </cell>
          <cell r="AG8">
            <v>189</v>
          </cell>
          <cell r="AH8">
            <v>5.5</v>
          </cell>
          <cell r="AI8">
            <v>6.9</v>
          </cell>
          <cell r="AJ8">
            <v>10</v>
          </cell>
          <cell r="AK8">
            <v>269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5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ontrol" Target="../activeX/activeX19.xml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6.xml"/><Relationship Id="rId7" Type="http://schemas.openxmlformats.org/officeDocument/2006/relationships/image" Target="../media/image8.emf"/><Relationship Id="rId12" Type="http://schemas.openxmlformats.org/officeDocument/2006/relationships/control" Target="../activeX/activeX18.xml"/><Relationship Id="rId17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2.xml"/><Relationship Id="rId20" Type="http://schemas.openxmlformats.org/officeDocument/2006/relationships/image" Target="../media/image10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4.emf"/><Relationship Id="rId5" Type="http://schemas.openxmlformats.org/officeDocument/2006/relationships/image" Target="../media/image7.emf"/><Relationship Id="rId15" Type="http://schemas.openxmlformats.org/officeDocument/2006/relationships/control" Target="../activeX/activeX21.xml"/><Relationship Id="rId10" Type="http://schemas.openxmlformats.org/officeDocument/2006/relationships/control" Target="../activeX/activeX17.xml"/><Relationship Id="rId19" Type="http://schemas.openxmlformats.org/officeDocument/2006/relationships/control" Target="../activeX/activeX25.xml"/><Relationship Id="rId4" Type="http://schemas.openxmlformats.org/officeDocument/2006/relationships/control" Target="../activeX/activeX14.xml"/><Relationship Id="rId9" Type="http://schemas.openxmlformats.org/officeDocument/2006/relationships/image" Target="../media/image9.emf"/><Relationship Id="rId14" Type="http://schemas.openxmlformats.org/officeDocument/2006/relationships/control" Target="../activeX/activeX20.xml"/><Relationship Id="rId22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control" Target="../activeX/activeX34.xml"/><Relationship Id="rId18" Type="http://schemas.openxmlformats.org/officeDocument/2006/relationships/control" Target="../activeX/activeX3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5.emf"/><Relationship Id="rId7" Type="http://schemas.openxmlformats.org/officeDocument/2006/relationships/image" Target="../media/image4.emf"/><Relationship Id="rId12" Type="http://schemas.openxmlformats.org/officeDocument/2006/relationships/control" Target="../activeX/activeX33.xml"/><Relationship Id="rId17" Type="http://schemas.openxmlformats.org/officeDocument/2006/relationships/image" Target="../media/image1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7.xml"/><Relationship Id="rId20" Type="http://schemas.openxmlformats.org/officeDocument/2006/relationships/control" Target="../activeX/activeX3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8.xml"/><Relationship Id="rId11" Type="http://schemas.openxmlformats.org/officeDocument/2006/relationships/control" Target="../activeX/activeX32.xml"/><Relationship Id="rId5" Type="http://schemas.openxmlformats.org/officeDocument/2006/relationships/image" Target="../media/image12.emf"/><Relationship Id="rId15" Type="http://schemas.openxmlformats.org/officeDocument/2006/relationships/control" Target="../activeX/activeX36.xml"/><Relationship Id="rId10" Type="http://schemas.openxmlformats.org/officeDocument/2006/relationships/control" Target="../activeX/activeX31.xml"/><Relationship Id="rId19" Type="http://schemas.openxmlformats.org/officeDocument/2006/relationships/image" Target="../media/image14.emf"/><Relationship Id="rId4" Type="http://schemas.openxmlformats.org/officeDocument/2006/relationships/control" Target="../activeX/activeX27.xml"/><Relationship Id="rId9" Type="http://schemas.openxmlformats.org/officeDocument/2006/relationships/control" Target="../activeX/activeX30.xml"/><Relationship Id="rId14" Type="http://schemas.openxmlformats.org/officeDocument/2006/relationships/control" Target="../activeX/activeX3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control" Target="../activeX/activeX47.xml"/><Relationship Id="rId18" Type="http://schemas.openxmlformats.org/officeDocument/2006/relationships/control" Target="../activeX/activeX51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9.emf"/><Relationship Id="rId7" Type="http://schemas.openxmlformats.org/officeDocument/2006/relationships/image" Target="../media/image4.emf"/><Relationship Id="rId12" Type="http://schemas.openxmlformats.org/officeDocument/2006/relationships/control" Target="../activeX/activeX46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0.xml"/><Relationship Id="rId20" Type="http://schemas.openxmlformats.org/officeDocument/2006/relationships/control" Target="../activeX/activeX5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5.xml"/><Relationship Id="rId5" Type="http://schemas.openxmlformats.org/officeDocument/2006/relationships/image" Target="../media/image16.emf"/><Relationship Id="rId15" Type="http://schemas.openxmlformats.org/officeDocument/2006/relationships/control" Target="../activeX/activeX49.xml"/><Relationship Id="rId10" Type="http://schemas.openxmlformats.org/officeDocument/2006/relationships/control" Target="../activeX/activeX44.xml"/><Relationship Id="rId19" Type="http://schemas.openxmlformats.org/officeDocument/2006/relationships/image" Target="../media/image18.emf"/><Relationship Id="rId4" Type="http://schemas.openxmlformats.org/officeDocument/2006/relationships/control" Target="../activeX/activeX40.xml"/><Relationship Id="rId9" Type="http://schemas.openxmlformats.org/officeDocument/2006/relationships/control" Target="../activeX/activeX43.xml"/><Relationship Id="rId14" Type="http://schemas.openxmlformats.org/officeDocument/2006/relationships/control" Target="../activeX/activeX4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C3:AK41"/>
  <sheetViews>
    <sheetView showGridLines="0" tabSelected="1" workbookViewId="0">
      <selection activeCell="AK20" sqref="AK20"/>
    </sheetView>
  </sheetViews>
  <sheetFormatPr defaultRowHeight="12.75" customHeight="1" x14ac:dyDescent="0.25"/>
  <cols>
    <col min="1" max="1" width="5" customWidth="1"/>
    <col min="2" max="2" width="4.5703125" customWidth="1"/>
    <col min="3" max="3" width="6.28515625" customWidth="1"/>
    <col min="4" max="4" width="0.85546875" customWidth="1"/>
    <col min="5" max="5" width="6" customWidth="1"/>
    <col min="6" max="6" width="0.85546875" customWidth="1"/>
    <col min="7" max="7" width="5.42578125" customWidth="1"/>
    <col min="8" max="8" width="7.28515625" bestFit="1" customWidth="1"/>
    <col min="9" max="14" width="3.7109375" customWidth="1"/>
    <col min="15" max="15" width="6" customWidth="1"/>
    <col min="16" max="16" width="3.7109375" customWidth="1"/>
    <col min="17" max="17" width="6" customWidth="1"/>
    <col min="18" max="18" width="3.7109375" customWidth="1"/>
    <col min="19" max="19" width="6" customWidth="1"/>
    <col min="20" max="20" width="3.7109375" customWidth="1"/>
    <col min="21" max="21" width="6" customWidth="1"/>
    <col min="22" max="22" width="3.7109375" customWidth="1"/>
    <col min="23" max="23" width="6" customWidth="1"/>
    <col min="24" max="24" width="3.7109375" customWidth="1"/>
    <col min="25" max="25" width="6" customWidth="1"/>
    <col min="26" max="26" width="3.7109375" customWidth="1"/>
    <col min="27" max="27" width="6" customWidth="1"/>
    <col min="28" max="28" width="3.7109375" customWidth="1"/>
    <col min="29" max="29" width="6" customWidth="1"/>
    <col min="30" max="30" width="3.7109375" customWidth="1"/>
    <col min="31" max="31" width="7" customWidth="1"/>
    <col min="32" max="32" width="3.5703125" customWidth="1"/>
    <col min="33" max="34" width="4.7109375" customWidth="1"/>
    <col min="35" max="35" width="6.140625" customWidth="1"/>
  </cols>
  <sheetData>
    <row r="3" spans="3:35" ht="20.25" x14ac:dyDescent="0.3">
      <c r="C3" s="1" t="s">
        <v>56</v>
      </c>
      <c r="D3" s="1"/>
      <c r="E3" s="1"/>
      <c r="F3" s="1"/>
      <c r="G3" s="1"/>
    </row>
    <row r="4" spans="3:35" ht="15" x14ac:dyDescent="0.25">
      <c r="C4" s="44" t="s">
        <v>57</v>
      </c>
      <c r="D4" s="44"/>
      <c r="E4" s="44"/>
      <c r="F4" s="44"/>
      <c r="G4" s="44"/>
      <c r="H4" s="44"/>
    </row>
    <row r="5" spans="3:35" ht="15" x14ac:dyDescent="0.25">
      <c r="K5" s="2"/>
      <c r="L5" s="2"/>
      <c r="M5" s="2"/>
    </row>
    <row r="6" spans="3:35" ht="15" x14ac:dyDescent="0.25">
      <c r="O6" s="5">
        <f>CQS!C5+(-N11*0.1)+(P11*0.1)</f>
        <v>210.4</v>
      </c>
      <c r="Q6" s="5">
        <f>CQS!C6+(-P11*0.1)+(R11*0.1)</f>
        <v>210.5</v>
      </c>
      <c r="S6" s="5">
        <f>CQS!C7 + (-R11*0.1) +(T11*0.1)</f>
        <v>210.4</v>
      </c>
      <c r="U6" s="5">
        <f>CQS!C8 + (-T11*0.1) + (V11*0.1)</f>
        <v>210.2</v>
      </c>
      <c r="W6" s="5">
        <f>CQS!C9 + (-V11*0.1) + (X11*0.1)</f>
        <v>210.2</v>
      </c>
      <c r="Y6" s="27">
        <f>CQS!C10 + (-X11*0.1) + (Z11*0.1)</f>
        <v>210.7</v>
      </c>
      <c r="AA6" s="27">
        <f>CQS!C11 + (-Z11*0.1) + (AB11*0.1)</f>
        <v>210.6</v>
      </c>
      <c r="AC6" s="5">
        <f>CQS!C12  + (-AB11*0.1)+(AD11*0.1)</f>
        <v>210</v>
      </c>
      <c r="AE6" t="s">
        <v>10</v>
      </c>
      <c r="AF6" t="s">
        <v>53</v>
      </c>
    </row>
    <row r="7" spans="3:35" ht="15" x14ac:dyDescent="0.25">
      <c r="O7" s="43">
        <f>CQS!G5 + (-N11*0.1)</f>
        <v>9.1999999999999993</v>
      </c>
      <c r="Q7" s="43">
        <f>CQS!G6 + (-P11*0.1)</f>
        <v>9.3000000000000007</v>
      </c>
      <c r="S7" s="43">
        <f>CQS!G7 +(- R11*0.1)</f>
        <v>9.3000000000000007</v>
      </c>
      <c r="U7" s="6">
        <f>CQS!G8+(-T11*0.1)</f>
        <v>9.6</v>
      </c>
      <c r="W7" s="6">
        <f>CQS!G9 + (-V11*0.1)</f>
        <v>9.9</v>
      </c>
      <c r="Y7" s="6">
        <f>CQS!G10 + (-X11*0.1)</f>
        <v>10.1</v>
      </c>
      <c r="AA7" s="6">
        <f>CQS!G11 + (-Z11*0.1)</f>
        <v>9.9</v>
      </c>
      <c r="AC7" s="6">
        <f>CQS!G12 + (-AB11*0.1)</f>
        <v>9.9</v>
      </c>
      <c r="AE7" s="3" t="s">
        <v>10</v>
      </c>
      <c r="AF7" s="3" t="s">
        <v>59</v>
      </c>
      <c r="AG7" s="3"/>
      <c r="AH7" s="3"/>
      <c r="AI7" s="3"/>
    </row>
    <row r="8" spans="3:35" ht="6.75" customHeight="1" x14ac:dyDescent="0.25">
      <c r="O8" s="3"/>
      <c r="Q8" s="3"/>
      <c r="S8" s="3"/>
      <c r="U8" s="3"/>
      <c r="W8" s="3"/>
      <c r="Y8" s="3"/>
      <c r="AA8" s="3"/>
      <c r="AC8" s="3"/>
    </row>
    <row r="9" spans="3:35" ht="45" customHeight="1" x14ac:dyDescent="0.25">
      <c r="O9" s="4" t="s">
        <v>19</v>
      </c>
      <c r="Q9" s="4" t="s">
        <v>12</v>
      </c>
      <c r="S9" s="4" t="s">
        <v>13</v>
      </c>
      <c r="U9" s="4" t="s">
        <v>14</v>
      </c>
      <c r="W9" s="4" t="s">
        <v>15</v>
      </c>
      <c r="Y9" s="4" t="s">
        <v>16</v>
      </c>
      <c r="AA9" s="4" t="s">
        <v>17</v>
      </c>
      <c r="AC9" s="4" t="s">
        <v>18</v>
      </c>
    </row>
    <row r="10" spans="3:35" ht="6" customHeight="1" x14ac:dyDescent="0.25">
      <c r="O10" s="3"/>
      <c r="Q10" s="3"/>
    </row>
    <row r="11" spans="3:35" ht="15" x14ac:dyDescent="0.25">
      <c r="N11" s="12">
        <v>0</v>
      </c>
      <c r="P11" s="12">
        <v>0</v>
      </c>
      <c r="R11" s="12">
        <v>0</v>
      </c>
      <c r="T11" s="12">
        <v>0</v>
      </c>
      <c r="V11" s="12">
        <v>0</v>
      </c>
      <c r="X11" s="12">
        <v>0</v>
      </c>
      <c r="Z11" s="12">
        <v>0</v>
      </c>
      <c r="AB11" s="12">
        <v>0</v>
      </c>
      <c r="AD11" s="12">
        <v>0</v>
      </c>
      <c r="AG11" s="54" t="s">
        <v>61</v>
      </c>
    </row>
    <row r="12" spans="3:35" ht="3.75" customHeight="1" x14ac:dyDescent="0.25"/>
    <row r="13" spans="3:35" ht="15" x14ac:dyDescent="0.25">
      <c r="N13" s="7">
        <v>0</v>
      </c>
      <c r="P13" s="7">
        <v>0</v>
      </c>
      <c r="R13" s="7">
        <v>0</v>
      </c>
      <c r="T13" s="7">
        <v>0</v>
      </c>
      <c r="V13" s="7">
        <v>0</v>
      </c>
      <c r="X13" s="7">
        <v>0</v>
      </c>
      <c r="Z13" s="7">
        <v>0</v>
      </c>
      <c r="AB13" s="7">
        <v>0</v>
      </c>
      <c r="AD13" s="7">
        <v>0</v>
      </c>
      <c r="AF13" s="56" t="s">
        <v>10</v>
      </c>
      <c r="AG13" s="56" t="s">
        <v>62</v>
      </c>
      <c r="AH13" s="56"/>
      <c r="AI13" s="55"/>
    </row>
    <row r="14" spans="3:35" ht="3.75" customHeight="1" x14ac:dyDescent="0.25">
      <c r="AD14">
        <f>AH29+AD11</f>
        <v>0</v>
      </c>
    </row>
    <row r="15" spans="3:35" ht="41.25" x14ac:dyDescent="0.25">
      <c r="N15" s="4" t="s">
        <v>20</v>
      </c>
      <c r="P15" s="4" t="s">
        <v>2</v>
      </c>
      <c r="R15" s="4" t="s">
        <v>3</v>
      </c>
      <c r="T15" s="4" t="s">
        <v>1</v>
      </c>
      <c r="V15" s="4" t="s">
        <v>4</v>
      </c>
      <c r="X15" s="4" t="s">
        <v>5</v>
      </c>
      <c r="Z15" s="4" t="s">
        <v>6</v>
      </c>
      <c r="AB15" s="4" t="s">
        <v>7</v>
      </c>
      <c r="AD15" s="4" t="s">
        <v>8</v>
      </c>
      <c r="AF15" s="46" t="s">
        <v>60</v>
      </c>
      <c r="AG15" s="47"/>
      <c r="AH15" s="47"/>
      <c r="AI15" s="48"/>
    </row>
    <row r="16" spans="3:35" ht="16.5" customHeight="1" x14ac:dyDescent="0.25">
      <c r="K16" s="2"/>
      <c r="L16" s="2"/>
    </row>
    <row r="17" spans="3:37" ht="2.25" customHeight="1" x14ac:dyDescent="0.25">
      <c r="K17" s="2"/>
      <c r="L17" s="2"/>
    </row>
    <row r="18" spans="3:37" ht="16.5" customHeight="1" x14ac:dyDescent="0.25">
      <c r="K18" s="2"/>
      <c r="L18" s="2"/>
      <c r="N18" s="12">
        <v>0</v>
      </c>
      <c r="O18" s="13"/>
      <c r="P18" s="15">
        <v>0</v>
      </c>
      <c r="Q18" s="16"/>
      <c r="R18" s="17">
        <v>0</v>
      </c>
      <c r="S18" s="13"/>
      <c r="T18" s="15">
        <v>0</v>
      </c>
      <c r="U18" s="13"/>
      <c r="V18" s="17">
        <v>0</v>
      </c>
      <c r="W18" s="13"/>
      <c r="X18" s="17">
        <v>0</v>
      </c>
      <c r="Y18" s="13"/>
      <c r="Z18" s="17">
        <v>0</v>
      </c>
      <c r="AA18" s="13"/>
      <c r="AB18" s="12">
        <v>0</v>
      </c>
      <c r="AC18" s="13"/>
      <c r="AD18" s="17">
        <v>0</v>
      </c>
      <c r="AE18" s="13"/>
      <c r="AF18" s="57" t="s">
        <v>63</v>
      </c>
      <c r="AG18" s="56"/>
      <c r="AH18" s="56"/>
    </row>
    <row r="19" spans="3:37" ht="16.5" customHeight="1" x14ac:dyDescent="0.25">
      <c r="K19" s="2"/>
      <c r="L19" s="2"/>
      <c r="P19" s="14"/>
      <c r="R19" s="14"/>
      <c r="T19" s="14"/>
      <c r="V19" s="14"/>
      <c r="X19" s="14"/>
      <c r="Z19" s="14"/>
      <c r="AB19" s="14"/>
      <c r="AD19" s="14"/>
    </row>
    <row r="20" spans="3:37" ht="18.75" customHeight="1" x14ac:dyDescent="0.25">
      <c r="K20" s="2"/>
      <c r="L20" s="2"/>
      <c r="AF20" s="8"/>
      <c r="AG20" s="8"/>
      <c r="AH20" s="8"/>
      <c r="AI20" s="8"/>
      <c r="AK20" t="s">
        <v>64</v>
      </c>
    </row>
    <row r="21" spans="3:37" ht="18.75" customHeight="1" x14ac:dyDescent="0.3">
      <c r="I21" s="45"/>
      <c r="J21" s="45"/>
      <c r="K21" s="45"/>
      <c r="L21" s="45"/>
      <c r="V21" s="23"/>
      <c r="W21" s="23"/>
      <c r="AG21" s="10"/>
      <c r="AH21" s="11"/>
    </row>
    <row r="22" spans="3:37" ht="18.75" customHeight="1" x14ac:dyDescent="0.3">
      <c r="C22" s="20"/>
      <c r="D22" s="20"/>
      <c r="E22" s="20"/>
      <c r="F22" s="21"/>
      <c r="G22" s="20"/>
      <c r="H22" s="20"/>
      <c r="AG22" s="10"/>
      <c r="AH22" s="11"/>
    </row>
    <row r="23" spans="3:37" ht="18.75" customHeight="1" x14ac:dyDescent="0.3">
      <c r="E23" s="3"/>
      <c r="F23" s="3"/>
      <c r="G23" s="3"/>
      <c r="H23" s="3"/>
      <c r="O23" s="42" t="s">
        <v>25</v>
      </c>
      <c r="P23" s="40"/>
      <c r="Q23" s="40" t="s">
        <v>31</v>
      </c>
      <c r="R23" s="40"/>
      <c r="S23" s="40" t="s">
        <v>35</v>
      </c>
      <c r="T23" s="40"/>
      <c r="U23" s="40" t="s">
        <v>39</v>
      </c>
      <c r="Y23" s="42" t="s">
        <v>26</v>
      </c>
      <c r="Z23" s="40"/>
      <c r="AA23" s="40" t="s">
        <v>32</v>
      </c>
      <c r="AB23" s="40"/>
      <c r="AC23" s="40" t="s">
        <v>36</v>
      </c>
      <c r="AD23" s="40"/>
      <c r="AE23" s="40" t="s">
        <v>40</v>
      </c>
      <c r="AG23" s="10"/>
      <c r="AH23" s="11"/>
    </row>
    <row r="24" spans="3:37" ht="16.5" customHeight="1" x14ac:dyDescent="0.3">
      <c r="E24" s="3"/>
      <c r="F24" s="3"/>
      <c r="G24" s="3"/>
      <c r="H24" s="3"/>
      <c r="N24" s="41" t="s">
        <v>43</v>
      </c>
      <c r="O24" s="28">
        <f>CQS!G5</f>
        <v>9.1999999999999993</v>
      </c>
      <c r="P24" s="34"/>
      <c r="Q24" s="28">
        <f>CQS!K5</f>
        <v>9.1999999999999993</v>
      </c>
      <c r="R24" s="34"/>
      <c r="S24" s="28">
        <f>CQS!O5</f>
        <v>9.1999999999999993</v>
      </c>
      <c r="T24" s="34"/>
      <c r="U24" s="28">
        <f>CQS!S5</f>
        <v>9.1</v>
      </c>
      <c r="X24" s="41" t="s">
        <v>43</v>
      </c>
      <c r="Y24" s="31">
        <f>CQS!H5</f>
        <v>28.9</v>
      </c>
      <c r="Z24" s="25"/>
      <c r="AA24" s="31">
        <f>CQS!L5</f>
        <v>109</v>
      </c>
      <c r="AB24" s="25"/>
      <c r="AC24" s="28">
        <f>CQS!P5</f>
        <v>189.1</v>
      </c>
      <c r="AD24" s="25"/>
      <c r="AE24" s="31">
        <f>CQS!T5</f>
        <v>269</v>
      </c>
      <c r="AG24" s="10"/>
      <c r="AH24" s="11"/>
    </row>
    <row r="25" spans="3:37" ht="16.5" customHeight="1" x14ac:dyDescent="0.3">
      <c r="E25" s="3"/>
      <c r="F25" s="3"/>
      <c r="G25" s="3"/>
      <c r="H25" s="3"/>
      <c r="N25" s="41" t="s">
        <v>44</v>
      </c>
      <c r="O25" s="29">
        <f>CQS!G6</f>
        <v>9.3000000000000007</v>
      </c>
      <c r="P25" s="35"/>
      <c r="Q25" s="29">
        <f>CQS!K6</f>
        <v>9.3000000000000007</v>
      </c>
      <c r="R25" s="35"/>
      <c r="S25" s="29">
        <f>CQS!O6</f>
        <v>9.3000000000000007</v>
      </c>
      <c r="T25" s="35"/>
      <c r="U25" s="29">
        <f>CQS!S6</f>
        <v>9.3000000000000007</v>
      </c>
      <c r="X25" s="41" t="s">
        <v>44</v>
      </c>
      <c r="Y25" s="32">
        <f>CQS!H6</f>
        <v>28.8</v>
      </c>
      <c r="Z25" s="26"/>
      <c r="AA25" s="32">
        <f>CQS!L6</f>
        <v>108.9</v>
      </c>
      <c r="AB25" s="26"/>
      <c r="AC25" s="32">
        <f>CQS!P6</f>
        <v>189</v>
      </c>
      <c r="AD25" s="26"/>
      <c r="AE25" s="32">
        <f>CQS!T6</f>
        <v>269</v>
      </c>
      <c r="AG25" s="10"/>
      <c r="AH25" s="11"/>
    </row>
    <row r="26" spans="3:37" ht="16.5" customHeight="1" x14ac:dyDescent="0.3">
      <c r="E26" s="3"/>
      <c r="F26" s="3"/>
      <c r="G26" s="3"/>
      <c r="H26" s="3"/>
      <c r="N26" s="41" t="s">
        <v>45</v>
      </c>
      <c r="O26" s="28">
        <f>CQS!G7</f>
        <v>9.3000000000000007</v>
      </c>
      <c r="P26" s="34"/>
      <c r="Q26" s="28">
        <f>CQS!K7</f>
        <v>9.3000000000000007</v>
      </c>
      <c r="R26" s="34"/>
      <c r="S26" s="28">
        <f>CQS!O7</f>
        <v>9.4</v>
      </c>
      <c r="T26" s="34"/>
      <c r="U26" s="28">
        <f>CQS!S7</f>
        <v>9.4</v>
      </c>
      <c r="X26" s="41" t="s">
        <v>45</v>
      </c>
      <c r="Y26" s="31">
        <f>CQS!H7</f>
        <v>28.8</v>
      </c>
      <c r="Z26" s="25"/>
      <c r="AA26" s="31">
        <f>CQS!L7</f>
        <v>108.9</v>
      </c>
      <c r="AB26" s="25"/>
      <c r="AC26" s="31">
        <f>CQS!P7</f>
        <v>188.9</v>
      </c>
      <c r="AD26" s="25"/>
      <c r="AE26" s="31">
        <f>CQS!T7</f>
        <v>268.89999999999998</v>
      </c>
      <c r="AG26" s="10"/>
      <c r="AH26" s="11"/>
    </row>
    <row r="27" spans="3:37" ht="16.5" customHeight="1" x14ac:dyDescent="0.3">
      <c r="E27" s="3"/>
      <c r="F27" s="3"/>
      <c r="G27" s="3"/>
      <c r="H27" s="3"/>
      <c r="N27" s="41" t="s">
        <v>46</v>
      </c>
      <c r="O27" s="32">
        <f>CQS!G8</f>
        <v>9.6</v>
      </c>
      <c r="P27" s="35"/>
      <c r="Q27" s="32">
        <f>CQS!K8</f>
        <v>9.6</v>
      </c>
      <c r="R27" s="35"/>
      <c r="S27" s="32">
        <f>CQS!O8</f>
        <v>9.6</v>
      </c>
      <c r="T27" s="35"/>
      <c r="U27" s="32">
        <f>CQS!S8</f>
        <v>9.6</v>
      </c>
      <c r="X27" s="41" t="s">
        <v>46</v>
      </c>
      <c r="Y27" s="32">
        <f>CQS!H8</f>
        <v>28.7</v>
      </c>
      <c r="Z27" s="26"/>
      <c r="AA27" s="32">
        <f>CQS!L8</f>
        <v>108.8</v>
      </c>
      <c r="AB27" s="26"/>
      <c r="AC27" s="32">
        <f>CQS!P8</f>
        <v>188.9</v>
      </c>
      <c r="AD27" s="26"/>
      <c r="AE27" s="32">
        <f>CQS!T8</f>
        <v>268.89999999999998</v>
      </c>
      <c r="AG27" s="10"/>
      <c r="AH27" s="11"/>
    </row>
    <row r="28" spans="3:37" ht="16.5" customHeight="1" x14ac:dyDescent="0.3">
      <c r="E28" s="3"/>
      <c r="F28" s="3"/>
      <c r="G28" s="3"/>
      <c r="H28" s="3"/>
      <c r="N28" s="41" t="s">
        <v>47</v>
      </c>
      <c r="O28" s="31">
        <f>CQS!G9</f>
        <v>9.9</v>
      </c>
      <c r="P28" s="34"/>
      <c r="Q28" s="31">
        <f>CQS!K9</f>
        <v>9.8000000000000007</v>
      </c>
      <c r="R28" s="34"/>
      <c r="S28" s="31">
        <f>CQS!O9</f>
        <v>9.9</v>
      </c>
      <c r="T28" s="34"/>
      <c r="U28" s="31">
        <f>CQS!S9</f>
        <v>9.9</v>
      </c>
      <c r="X28" s="41" t="s">
        <v>47</v>
      </c>
      <c r="Y28" s="31">
        <f>CQS!H9</f>
        <v>28.8</v>
      </c>
      <c r="Z28" s="25"/>
      <c r="AA28" s="31">
        <f>CQS!L9</f>
        <v>108.7</v>
      </c>
      <c r="AB28" s="25"/>
      <c r="AC28" s="31">
        <f>CQS!P9</f>
        <v>188.8</v>
      </c>
      <c r="AD28" s="25"/>
      <c r="AE28" s="31">
        <f>CQS!T9</f>
        <v>268.89999999999998</v>
      </c>
      <c r="AG28" s="10"/>
      <c r="AH28" s="11"/>
    </row>
    <row r="29" spans="3:37" ht="16.5" customHeight="1" x14ac:dyDescent="0.3">
      <c r="E29" s="3"/>
      <c r="F29" s="3"/>
      <c r="G29" s="3"/>
      <c r="H29" s="3"/>
      <c r="N29" s="41" t="s">
        <v>48</v>
      </c>
      <c r="O29" s="32">
        <f>CQS!G10</f>
        <v>10.1</v>
      </c>
      <c r="P29" s="35"/>
      <c r="Q29" s="32">
        <f>CQS!K10</f>
        <v>10.1</v>
      </c>
      <c r="R29" s="35"/>
      <c r="S29" s="32">
        <f>CQS!O10</f>
        <v>10.1</v>
      </c>
      <c r="T29" s="35"/>
      <c r="U29" s="32">
        <f>CQS!S10</f>
        <v>10.1</v>
      </c>
      <c r="X29" s="41" t="s">
        <v>48</v>
      </c>
      <c r="Y29" s="32">
        <f>CQS!H10</f>
        <v>28.8</v>
      </c>
      <c r="Z29" s="26"/>
      <c r="AA29" s="32">
        <f>CQS!L10</f>
        <v>108.8</v>
      </c>
      <c r="AB29" s="26"/>
      <c r="AC29" s="32">
        <f>CQS!P10</f>
        <v>188.9</v>
      </c>
      <c r="AD29" s="26"/>
      <c r="AE29" s="32">
        <f>CQS!T10</f>
        <v>268.89999999999998</v>
      </c>
      <c r="AG29" s="10"/>
      <c r="AH29" s="11"/>
    </row>
    <row r="30" spans="3:37" ht="16.5" customHeight="1" x14ac:dyDescent="0.25">
      <c r="E30" s="3"/>
      <c r="F30" s="3"/>
      <c r="G30" s="3"/>
      <c r="H30" s="3"/>
      <c r="N30" s="41" t="s">
        <v>49</v>
      </c>
      <c r="O30" s="31">
        <f>CQS!G11</f>
        <v>9.9</v>
      </c>
      <c r="P30" s="34"/>
      <c r="Q30" s="31">
        <f>CQS!K11</f>
        <v>9.9</v>
      </c>
      <c r="R30" s="34"/>
      <c r="S30" s="31">
        <f>CQS!O11</f>
        <v>9.9</v>
      </c>
      <c r="T30" s="34"/>
      <c r="U30" s="31">
        <f>CQS!S11</f>
        <v>10</v>
      </c>
      <c r="X30" s="41" t="s">
        <v>49</v>
      </c>
      <c r="Y30" s="31">
        <f>CQS!H11</f>
        <v>28.8</v>
      </c>
      <c r="Z30" s="25"/>
      <c r="AA30" s="31">
        <f>CQS!L11</f>
        <v>108.8</v>
      </c>
      <c r="AB30" s="25"/>
      <c r="AC30" s="31">
        <f>CQS!P11</f>
        <v>189</v>
      </c>
      <c r="AD30" s="25"/>
      <c r="AE30" s="31">
        <f>CQS!T11</f>
        <v>269</v>
      </c>
    </row>
    <row r="31" spans="3:37" ht="16.5" customHeight="1" x14ac:dyDescent="0.25">
      <c r="N31" s="41" t="s">
        <v>50</v>
      </c>
      <c r="O31" s="32">
        <f>CQS!G12</f>
        <v>9.9</v>
      </c>
      <c r="P31" s="35"/>
      <c r="Q31" s="32">
        <f>CQS!K12</f>
        <v>9.9</v>
      </c>
      <c r="R31" s="35"/>
      <c r="S31" s="32">
        <f>CQS!O12</f>
        <v>9.9</v>
      </c>
      <c r="T31" s="35"/>
      <c r="U31" s="32">
        <f>CQS!S12</f>
        <v>10</v>
      </c>
      <c r="X31" s="41" t="s">
        <v>50</v>
      </c>
      <c r="Y31" s="32">
        <f>CQS!H12</f>
        <v>28.8</v>
      </c>
      <c r="Z31" s="26"/>
      <c r="AA31" s="32">
        <f>CQS!L12</f>
        <v>108.9</v>
      </c>
      <c r="AB31" s="26"/>
      <c r="AC31" s="32">
        <f>CQS!P12</f>
        <v>189</v>
      </c>
      <c r="AD31" s="26"/>
      <c r="AE31" s="32">
        <f>CQS!T12</f>
        <v>269</v>
      </c>
    </row>
    <row r="34" spans="4:7" ht="15" x14ac:dyDescent="0.25">
      <c r="D34" s="3"/>
      <c r="E34" s="3"/>
      <c r="F34" s="3"/>
      <c r="G34" s="3"/>
    </row>
    <row r="35" spans="4:7" ht="15" x14ac:dyDescent="0.25">
      <c r="D35" s="3"/>
      <c r="E35" s="3"/>
      <c r="F35" s="3"/>
      <c r="G35" s="3"/>
    </row>
    <row r="36" spans="4:7" ht="15" x14ac:dyDescent="0.25">
      <c r="D36" s="3"/>
      <c r="E36" s="3"/>
      <c r="F36" s="3"/>
      <c r="G36" s="3"/>
    </row>
    <row r="37" spans="4:7" ht="15" x14ac:dyDescent="0.25">
      <c r="D37" s="3"/>
      <c r="E37" s="3"/>
      <c r="F37" s="3"/>
      <c r="G37" s="3"/>
    </row>
    <row r="38" spans="4:7" ht="15" x14ac:dyDescent="0.25">
      <c r="D38" s="3"/>
      <c r="E38" s="3"/>
      <c r="F38" s="3"/>
      <c r="G38" s="3"/>
    </row>
    <row r="39" spans="4:7" ht="15" x14ac:dyDescent="0.25">
      <c r="D39" s="3"/>
      <c r="E39" s="3"/>
      <c r="F39" s="3"/>
      <c r="G39" s="3"/>
    </row>
    <row r="40" spans="4:7" ht="15" x14ac:dyDescent="0.25">
      <c r="D40" s="3"/>
      <c r="E40" s="3"/>
      <c r="F40" s="3"/>
      <c r="G40" s="3"/>
    </row>
    <row r="41" spans="4:7" ht="15" x14ac:dyDescent="0.25">
      <c r="D41" s="3"/>
      <c r="E41" s="3"/>
      <c r="F41" s="3"/>
      <c r="G41" s="3"/>
    </row>
  </sheetData>
  <mergeCells count="3">
    <mergeCell ref="C4:H4"/>
    <mergeCell ref="I21:L21"/>
    <mergeCell ref="AF15:AI15"/>
  </mergeCells>
  <phoneticPr fontId="2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m_cmdMachineValUpdate_A44F">
          <controlPr defaultSize="0" autoLine="0" r:id="rId5">
            <anchor moveWithCells="1">
              <from>
                <xdr:col>6</xdr:col>
                <xdr:colOff>95250</xdr:colOff>
                <xdr:row>21</xdr:row>
                <xdr:rowOff>200025</xdr:rowOff>
              </from>
              <to>
                <xdr:col>9</xdr:col>
                <xdr:colOff>57150</xdr:colOff>
                <xdr:row>25</xdr:row>
                <xdr:rowOff>133350</xdr:rowOff>
              </to>
            </anchor>
          </controlPr>
        </control>
      </mc:Choice>
      <mc:Fallback>
        <control shapeId="1060" r:id="rId4" name="m_cmdMachineValUpdate_A44F"/>
      </mc:Fallback>
    </mc:AlternateContent>
    <mc:AlternateContent xmlns:mc="http://schemas.openxmlformats.org/markup-compatibility/2006">
      <mc:Choice Requires="x14">
        <control shapeId="1048" r:id="rId6" name="m_cmdSlittersZeros_A44F">
          <controlPr defaultSize="0" autoLine="0" autoPict="0" r:id="rId7">
            <anchor moveWithCells="1">
              <from>
                <xdr:col>36</xdr:col>
                <xdr:colOff>171450</xdr:colOff>
                <xdr:row>8</xdr:row>
                <xdr:rowOff>561975</xdr:rowOff>
              </from>
              <to>
                <xdr:col>38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1048" r:id="rId6" name="m_cmdSlittersZeros_A44F"/>
      </mc:Fallback>
    </mc:AlternateContent>
    <mc:AlternateContent xmlns:mc="http://schemas.openxmlformats.org/markup-compatibility/2006">
      <mc:Choice Requires="x14">
        <control shapeId="1037" r:id="rId8" name="btn_direita_A44F">
          <controlPr defaultSize="0" autoLine="0" r:id="rId9">
            <anchor moveWithCells="1">
              <from>
                <xdr:col>33</xdr:col>
                <xdr:colOff>161925</xdr:colOff>
                <xdr:row>14</xdr:row>
                <xdr:rowOff>190500</xdr:rowOff>
              </from>
              <to>
                <xdr:col>34</xdr:col>
                <xdr:colOff>228600</xdr:colOff>
                <xdr:row>14</xdr:row>
                <xdr:rowOff>504825</xdr:rowOff>
              </to>
            </anchor>
          </controlPr>
        </control>
      </mc:Choice>
      <mc:Fallback>
        <control shapeId="1037" r:id="rId8" name="btn_direita_A44F"/>
      </mc:Fallback>
    </mc:AlternateContent>
    <mc:AlternateContent xmlns:mc="http://schemas.openxmlformats.org/markup-compatibility/2006">
      <mc:Choice Requires="x14">
        <control shapeId="1036" r:id="rId10" name="opt_slitter9">
          <controlPr defaultSize="0" autoLine="0" r:id="rId11">
            <anchor moveWithCells="1">
              <from>
                <xdr:col>29</xdr:col>
                <xdr:colOff>0</xdr:colOff>
                <xdr:row>15</xdr:row>
                <xdr:rowOff>9525</xdr:rowOff>
              </from>
              <to>
                <xdr:col>30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36" r:id="rId10" name="opt_slitter9"/>
      </mc:Fallback>
    </mc:AlternateContent>
    <mc:AlternateContent xmlns:mc="http://schemas.openxmlformats.org/markup-compatibility/2006">
      <mc:Choice Requires="x14">
        <control shapeId="1035" r:id="rId12" name="opt_slitter8">
          <controlPr defaultSize="0" autoLine="0" r:id="rId11">
            <anchor moveWithCells="1">
              <from>
                <xdr:col>27</xdr:col>
                <xdr:colOff>9525</xdr:colOff>
                <xdr:row>15</xdr:row>
                <xdr:rowOff>9525</xdr:rowOff>
              </from>
              <to>
                <xdr:col>28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1035" r:id="rId12" name="opt_slitter8"/>
      </mc:Fallback>
    </mc:AlternateContent>
    <mc:AlternateContent xmlns:mc="http://schemas.openxmlformats.org/markup-compatibility/2006">
      <mc:Choice Requires="x14">
        <control shapeId="1034" r:id="rId13" name="opt_slitter7">
          <controlPr defaultSize="0" autoLine="0" r:id="rId11">
            <anchor moveWithCells="1">
              <from>
                <xdr:col>25</xdr:col>
                <xdr:colOff>9525</xdr:colOff>
                <xdr:row>15</xdr:row>
                <xdr:rowOff>9525</xdr:rowOff>
              </from>
              <to>
                <xdr:col>26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1034" r:id="rId13" name="opt_slitter7"/>
      </mc:Fallback>
    </mc:AlternateContent>
    <mc:AlternateContent xmlns:mc="http://schemas.openxmlformats.org/markup-compatibility/2006">
      <mc:Choice Requires="x14">
        <control shapeId="1033" r:id="rId14" name="opt_slitter6">
          <controlPr defaultSize="0" autoLine="0" r:id="rId11">
            <anchor moveWithCells="1">
              <from>
                <xdr:col>23</xdr:col>
                <xdr:colOff>0</xdr:colOff>
                <xdr:row>15</xdr:row>
                <xdr:rowOff>9525</xdr:rowOff>
              </from>
              <to>
                <xdr:col>24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33" r:id="rId14" name="opt_slitter6"/>
      </mc:Fallback>
    </mc:AlternateContent>
    <mc:AlternateContent xmlns:mc="http://schemas.openxmlformats.org/markup-compatibility/2006">
      <mc:Choice Requires="x14">
        <control shapeId="1032" r:id="rId15" name="opt_slitter5">
          <controlPr defaultSize="0" autoLine="0" r:id="rId11">
            <anchor moveWithCells="1">
              <from>
                <xdr:col>21</xdr:col>
                <xdr:colOff>0</xdr:colOff>
                <xdr:row>15</xdr:row>
                <xdr:rowOff>9525</xdr:rowOff>
              </from>
              <to>
                <xdr:col>22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32" r:id="rId15" name="opt_slitter5"/>
      </mc:Fallback>
    </mc:AlternateContent>
    <mc:AlternateContent xmlns:mc="http://schemas.openxmlformats.org/markup-compatibility/2006">
      <mc:Choice Requires="x14">
        <control shapeId="1031" r:id="rId16" name="opt_slitter4">
          <controlPr defaultSize="0" autoLine="0" r:id="rId11">
            <anchor moveWithCells="1">
              <from>
                <xdr:col>19</xdr:col>
                <xdr:colOff>0</xdr:colOff>
                <xdr:row>15</xdr:row>
                <xdr:rowOff>9525</xdr:rowOff>
              </from>
              <to>
                <xdr:col>20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31" r:id="rId16" name="opt_slitter4"/>
      </mc:Fallback>
    </mc:AlternateContent>
    <mc:AlternateContent xmlns:mc="http://schemas.openxmlformats.org/markup-compatibility/2006">
      <mc:Choice Requires="x14">
        <control shapeId="1030" r:id="rId17" name="opt_slitter3">
          <controlPr defaultSize="0" autoLine="0" r:id="rId11">
            <anchor moveWithCells="1">
              <from>
                <xdr:col>17</xdr:col>
                <xdr:colOff>0</xdr:colOff>
                <xdr:row>15</xdr:row>
                <xdr:rowOff>9525</xdr:rowOff>
              </from>
              <to>
                <xdr:col>18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30" r:id="rId17" name="opt_slitter3"/>
      </mc:Fallback>
    </mc:AlternateContent>
    <mc:AlternateContent xmlns:mc="http://schemas.openxmlformats.org/markup-compatibility/2006">
      <mc:Choice Requires="x14">
        <control shapeId="1029" r:id="rId18" name="opt_slitter2">
          <controlPr defaultSize="0" autoLine="0" r:id="rId11">
            <anchor moveWithCells="1">
              <from>
                <xdr:col>15</xdr:col>
                <xdr:colOff>0</xdr:colOff>
                <xdr:row>15</xdr:row>
                <xdr:rowOff>9525</xdr:rowOff>
              </from>
              <to>
                <xdr:col>16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29" r:id="rId18" name="opt_slitter2"/>
      </mc:Fallback>
    </mc:AlternateContent>
    <mc:AlternateContent xmlns:mc="http://schemas.openxmlformats.org/markup-compatibility/2006">
      <mc:Choice Requires="x14">
        <control shapeId="1028" r:id="rId19" name="opt_slitter1">
          <controlPr autoLine="0" r:id="rId11">
            <anchor moveWithCells="1">
              <from>
                <xdr:col>13</xdr:col>
                <xdr:colOff>0</xdr:colOff>
                <xdr:row>15</xdr:row>
                <xdr:rowOff>9525</xdr:rowOff>
              </from>
              <to>
                <xdr:col>14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1028" r:id="rId19" name="opt_slitter1"/>
      </mc:Fallback>
    </mc:AlternateContent>
    <mc:AlternateContent xmlns:mc="http://schemas.openxmlformats.org/markup-compatibility/2006">
      <mc:Choice Requires="x14">
        <control shapeId="1027" r:id="rId20" name="btn_esquerda_A44F">
          <controlPr defaultSize="0" autoLine="0" r:id="rId21">
            <anchor moveWithCells="1">
              <from>
                <xdr:col>31</xdr:col>
                <xdr:colOff>161925</xdr:colOff>
                <xdr:row>14</xdr:row>
                <xdr:rowOff>190500</xdr:rowOff>
              </from>
              <to>
                <xdr:col>32</xdr:col>
                <xdr:colOff>304800</xdr:colOff>
                <xdr:row>14</xdr:row>
                <xdr:rowOff>504825</xdr:rowOff>
              </to>
            </anchor>
          </controlPr>
        </control>
      </mc:Choice>
      <mc:Fallback>
        <control shapeId="1027" r:id="rId20" name="btn_esquerda_A44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3"/>
  <dimension ref="C3:AI41"/>
  <sheetViews>
    <sheetView showGridLines="0" topLeftCell="A2" workbookViewId="0">
      <selection activeCell="E35" sqref="E34:E35"/>
    </sheetView>
  </sheetViews>
  <sheetFormatPr defaultRowHeight="12.75" customHeight="1" x14ac:dyDescent="0.25"/>
  <cols>
    <col min="1" max="1" width="5" customWidth="1"/>
    <col min="2" max="2" width="4.5703125" customWidth="1"/>
    <col min="3" max="3" width="6.28515625" customWidth="1"/>
    <col min="4" max="4" width="0.85546875" customWidth="1"/>
    <col min="5" max="5" width="6" customWidth="1"/>
    <col min="6" max="6" width="0.85546875" customWidth="1"/>
    <col min="7" max="7" width="5.42578125" customWidth="1"/>
    <col min="8" max="8" width="7.28515625" bestFit="1" customWidth="1"/>
    <col min="9" max="14" width="3.7109375" customWidth="1"/>
    <col min="15" max="15" width="6.42578125" customWidth="1"/>
    <col min="16" max="16" width="3.7109375" customWidth="1"/>
    <col min="17" max="17" width="6.42578125" customWidth="1"/>
    <col min="18" max="18" width="3.7109375" customWidth="1"/>
    <col min="19" max="19" width="6.42578125" customWidth="1"/>
    <col min="20" max="20" width="3.7109375" customWidth="1"/>
    <col min="21" max="21" width="6.42578125" customWidth="1"/>
    <col min="22" max="22" width="3.7109375" customWidth="1"/>
    <col min="23" max="23" width="6.42578125" customWidth="1"/>
    <col min="24" max="24" width="3.7109375" customWidth="1"/>
    <col min="25" max="25" width="6.42578125" customWidth="1"/>
    <col min="26" max="26" width="3.7109375" customWidth="1"/>
    <col min="27" max="27" width="6.42578125" customWidth="1"/>
    <col min="28" max="28" width="3.7109375" customWidth="1"/>
    <col min="29" max="29" width="6.42578125" customWidth="1"/>
    <col min="30" max="30" width="3.7109375" customWidth="1"/>
    <col min="31" max="31" width="6.42578125" customWidth="1"/>
    <col min="32" max="32" width="3.5703125" customWidth="1"/>
    <col min="33" max="34" width="4.7109375" customWidth="1"/>
    <col min="35" max="35" width="6.140625" customWidth="1"/>
  </cols>
  <sheetData>
    <row r="3" spans="3:35" ht="20.25" x14ac:dyDescent="0.3">
      <c r="C3" s="1" t="s">
        <v>56</v>
      </c>
      <c r="D3" s="1"/>
      <c r="E3" s="1"/>
      <c r="F3" s="1"/>
      <c r="G3" s="1"/>
    </row>
    <row r="4" spans="3:35" ht="15" x14ac:dyDescent="0.25">
      <c r="C4" s="44" t="s">
        <v>58</v>
      </c>
      <c r="D4" s="44"/>
      <c r="E4" s="44"/>
      <c r="F4" s="44"/>
      <c r="G4" s="44"/>
      <c r="H4" s="44"/>
    </row>
    <row r="5" spans="3:35" ht="15" x14ac:dyDescent="0.25">
      <c r="K5" s="2"/>
      <c r="L5" s="2"/>
      <c r="M5" s="2"/>
    </row>
    <row r="6" spans="3:35" ht="15" x14ac:dyDescent="0.25">
      <c r="O6" s="5">
        <f>CQS!C5+(-N11*0.1)+(P11*0.1)</f>
        <v>210.4</v>
      </c>
      <c r="Q6" s="5">
        <f>CQS!C6+(-P11*0.1)+(R11*0.1)</f>
        <v>210.5</v>
      </c>
      <c r="S6" s="5">
        <f>CQS!C7 + (-R11*0.1) +(T11*0.1)</f>
        <v>210.4</v>
      </c>
      <c r="U6" s="5">
        <f>CQS!C8 + (-T11*0.1) + (V11*0.1)</f>
        <v>210.39999999999998</v>
      </c>
      <c r="W6" s="5">
        <f>CQS!C9 + (-V11*0.1) + (X11*0.1)</f>
        <v>210.2</v>
      </c>
      <c r="Y6" s="27">
        <f>CQS!C10 + (-X11*0.1) + (Z11*0.1)</f>
        <v>210.8</v>
      </c>
      <c r="AA6" s="27">
        <f>CQS!C11 + (-Z11*0.1) + (AB11*0.1)</f>
        <v>210.7</v>
      </c>
      <c r="AC6" s="5">
        <f>CQS!C12  -(AB11*0.1)+ (AD11*0.1)</f>
        <v>210</v>
      </c>
      <c r="AE6" t="s">
        <v>10</v>
      </c>
      <c r="AF6" t="s">
        <v>9</v>
      </c>
    </row>
    <row r="7" spans="3:35" ht="15" x14ac:dyDescent="0.25">
      <c r="O7" s="43">
        <f>CQS!G5 + (-N11*0.1)</f>
        <v>9.1999999999999993</v>
      </c>
      <c r="Q7" s="43">
        <f>CQS!G6 + (-P11*0.1)</f>
        <v>9.3000000000000007</v>
      </c>
      <c r="S7" s="43">
        <f>CQS!G7 +(- R11*0.1)</f>
        <v>9.3000000000000007</v>
      </c>
      <c r="U7" s="6">
        <f>CQS!G8+(-T11*0.1)</f>
        <v>9.6</v>
      </c>
      <c r="W7" s="6">
        <f>CQS!G9 + (-V11*0.1)</f>
        <v>9.7000000000000011</v>
      </c>
      <c r="Y7" s="6">
        <f>CQS!G10 + (-X11*0.1)</f>
        <v>9.9</v>
      </c>
      <c r="AA7" s="6">
        <f>CQS!G11 + (-Z11*0.1)</f>
        <v>9.6</v>
      </c>
      <c r="AC7" s="6">
        <f>CQS!G12 + (-AB11*0.1)</f>
        <v>9.5</v>
      </c>
      <c r="AE7" s="3" t="s">
        <v>10</v>
      </c>
      <c r="AF7" s="3" t="s">
        <v>11</v>
      </c>
      <c r="AG7" s="3"/>
      <c r="AH7" s="3"/>
      <c r="AI7" s="3"/>
    </row>
    <row r="8" spans="3:35" ht="6.75" customHeight="1" x14ac:dyDescent="0.25">
      <c r="O8" s="3"/>
      <c r="Q8" s="3"/>
      <c r="S8" s="3"/>
      <c r="U8" s="3"/>
      <c r="W8" s="3"/>
      <c r="Y8" s="3"/>
      <c r="AA8" s="3"/>
      <c r="AC8" s="3"/>
    </row>
    <row r="9" spans="3:35" ht="45" customHeight="1" x14ac:dyDescent="0.25">
      <c r="O9" s="4" t="s">
        <v>19</v>
      </c>
      <c r="Q9" s="4" t="s">
        <v>12</v>
      </c>
      <c r="S9" s="4" t="s">
        <v>13</v>
      </c>
      <c r="U9" s="4" t="s">
        <v>14</v>
      </c>
      <c r="W9" s="4" t="s">
        <v>15</v>
      </c>
      <c r="Y9" s="4" t="s">
        <v>16</v>
      </c>
      <c r="AA9" s="4" t="s">
        <v>17</v>
      </c>
      <c r="AC9" s="4" t="s">
        <v>18</v>
      </c>
    </row>
    <row r="10" spans="3:35" ht="6" customHeight="1" x14ac:dyDescent="0.25">
      <c r="O10" s="3"/>
      <c r="Q10" s="3"/>
    </row>
    <row r="11" spans="3:35" ht="15" x14ac:dyDescent="0.25">
      <c r="N11" s="12">
        <v>0</v>
      </c>
      <c r="P11" s="12">
        <v>0</v>
      </c>
      <c r="R11" s="12">
        <v>0</v>
      </c>
      <c r="T11" s="12">
        <v>0</v>
      </c>
      <c r="V11" s="12">
        <v>2</v>
      </c>
      <c r="X11" s="12">
        <v>2</v>
      </c>
      <c r="Z11" s="12">
        <v>3</v>
      </c>
      <c r="AB11" s="12">
        <v>4</v>
      </c>
      <c r="AD11" s="12">
        <v>4</v>
      </c>
      <c r="AF11" t="s">
        <v>10</v>
      </c>
      <c r="AG11" t="s">
        <v>23</v>
      </c>
    </row>
    <row r="12" spans="3:35" ht="3.75" customHeight="1" x14ac:dyDescent="0.25"/>
    <row r="13" spans="3:35" ht="15" x14ac:dyDescent="0.25">
      <c r="N13" s="7">
        <v>0</v>
      </c>
      <c r="P13" s="7">
        <v>0</v>
      </c>
      <c r="R13" s="7">
        <v>0</v>
      </c>
      <c r="T13" s="7">
        <v>0</v>
      </c>
      <c r="V13" s="7">
        <v>0</v>
      </c>
      <c r="X13" s="7">
        <v>0</v>
      </c>
      <c r="Z13" s="7">
        <v>0</v>
      </c>
      <c r="AB13" s="7">
        <v>0</v>
      </c>
      <c r="AD13" s="7">
        <v>0</v>
      </c>
      <c r="AF13" t="s">
        <v>10</v>
      </c>
      <c r="AG13" t="s">
        <v>22</v>
      </c>
    </row>
    <row r="14" spans="3:35" ht="3.75" customHeight="1" x14ac:dyDescent="0.25">
      <c r="AD14">
        <f>AH29+AD11</f>
        <v>4</v>
      </c>
    </row>
    <row r="15" spans="3:35" ht="41.25" x14ac:dyDescent="0.25">
      <c r="N15" s="4" t="s">
        <v>20</v>
      </c>
      <c r="P15" s="4" t="s">
        <v>2</v>
      </c>
      <c r="R15" s="4" t="s">
        <v>3</v>
      </c>
      <c r="T15" s="4" t="s">
        <v>1</v>
      </c>
      <c r="V15" s="4" t="s">
        <v>4</v>
      </c>
      <c r="X15" s="4" t="s">
        <v>5</v>
      </c>
      <c r="Z15" s="4" t="s">
        <v>6</v>
      </c>
      <c r="AB15" s="4" t="s">
        <v>7</v>
      </c>
      <c r="AD15" s="4" t="s">
        <v>8</v>
      </c>
      <c r="AF15" s="49" t="s">
        <v>21</v>
      </c>
      <c r="AG15" s="50"/>
      <c r="AH15" s="50"/>
      <c r="AI15" s="51"/>
    </row>
    <row r="16" spans="3:35" ht="16.5" customHeight="1" x14ac:dyDescent="0.25">
      <c r="K16" s="2"/>
      <c r="L16" s="2"/>
    </row>
    <row r="17" spans="3:35" ht="2.25" customHeight="1" x14ac:dyDescent="0.25">
      <c r="K17" s="2"/>
      <c r="L17" s="2"/>
    </row>
    <row r="18" spans="3:35" ht="16.5" customHeight="1" x14ac:dyDescent="0.25">
      <c r="K18" s="2"/>
      <c r="L18" s="2"/>
      <c r="N18" s="12">
        <v>0</v>
      </c>
      <c r="O18" s="13"/>
      <c r="P18" s="15">
        <v>0</v>
      </c>
      <c r="Q18" s="16"/>
      <c r="R18" s="17">
        <v>0</v>
      </c>
      <c r="S18" s="13"/>
      <c r="T18" s="15">
        <v>0</v>
      </c>
      <c r="U18" s="13"/>
      <c r="V18" s="17">
        <v>0</v>
      </c>
      <c r="W18" s="13"/>
      <c r="X18" s="17">
        <v>0</v>
      </c>
      <c r="Y18" s="13"/>
      <c r="Z18" s="17">
        <v>0</v>
      </c>
      <c r="AA18" s="13"/>
      <c r="AB18" s="12">
        <v>0</v>
      </c>
      <c r="AC18" s="13"/>
      <c r="AD18" s="17">
        <v>0</v>
      </c>
      <c r="AE18" s="13"/>
      <c r="AF18" s="9" t="s">
        <v>24</v>
      </c>
    </row>
    <row r="19" spans="3:35" ht="16.5" customHeight="1" x14ac:dyDescent="0.25">
      <c r="K19" s="2"/>
      <c r="L19" s="2"/>
      <c r="P19" s="14"/>
      <c r="R19" s="14"/>
      <c r="T19" s="14"/>
      <c r="V19" s="14"/>
      <c r="X19" s="14"/>
      <c r="Z19" s="14"/>
      <c r="AB19" s="14"/>
      <c r="AD19" s="14"/>
    </row>
    <row r="20" spans="3:35" ht="18.75" customHeight="1" x14ac:dyDescent="0.25">
      <c r="K20" s="2"/>
      <c r="L20" s="2"/>
      <c r="AF20" s="8"/>
      <c r="AG20" s="8"/>
      <c r="AH20" s="8"/>
      <c r="AI20" s="8"/>
    </row>
    <row r="21" spans="3:35" ht="18.75" customHeight="1" x14ac:dyDescent="0.3">
      <c r="I21" s="45"/>
      <c r="J21" s="45"/>
      <c r="K21" s="45"/>
      <c r="L21" s="45"/>
      <c r="V21" s="23"/>
      <c r="W21" s="23"/>
      <c r="AG21" s="10"/>
      <c r="AH21" s="11"/>
    </row>
    <row r="22" spans="3:35" ht="18.75" customHeight="1" x14ac:dyDescent="0.3">
      <c r="C22" s="20"/>
      <c r="D22" s="20"/>
      <c r="E22" s="20"/>
      <c r="F22" s="21"/>
      <c r="G22" s="20"/>
      <c r="H22" s="20"/>
      <c r="AG22" s="10"/>
      <c r="AH22" s="11"/>
    </row>
    <row r="23" spans="3:35" ht="18.75" customHeight="1" x14ac:dyDescent="0.3">
      <c r="E23" s="3"/>
      <c r="F23" s="3"/>
      <c r="G23" s="3"/>
      <c r="H23" s="3"/>
      <c r="O23" s="40" t="s">
        <v>25</v>
      </c>
      <c r="P23" s="40"/>
      <c r="Q23" s="40" t="s">
        <v>31</v>
      </c>
      <c r="R23" s="40"/>
      <c r="S23" s="23"/>
      <c r="T23" s="23"/>
      <c r="U23" s="23"/>
      <c r="Y23" s="40" t="s">
        <v>26</v>
      </c>
      <c r="Z23" s="40"/>
      <c r="AA23" s="40" t="s">
        <v>32</v>
      </c>
      <c r="AB23" s="40"/>
      <c r="AC23" s="23"/>
      <c r="AD23" s="23"/>
      <c r="AE23" s="23"/>
      <c r="AG23" s="10"/>
      <c r="AH23" s="11"/>
    </row>
    <row r="24" spans="3:35" ht="16.5" customHeight="1" x14ac:dyDescent="0.3">
      <c r="E24" s="3"/>
      <c r="F24" s="3"/>
      <c r="G24" s="3"/>
      <c r="H24" s="3"/>
      <c r="N24" s="41" t="s">
        <v>43</v>
      </c>
      <c r="O24" s="30">
        <f>CQS!G5</f>
        <v>9.1999999999999993</v>
      </c>
      <c r="P24" s="31"/>
      <c r="Q24" s="30">
        <f>CQS!K5</f>
        <v>9.1999999999999993</v>
      </c>
      <c r="R24" s="31"/>
      <c r="S24" s="36"/>
      <c r="T24" s="36"/>
      <c r="U24" s="36"/>
      <c r="X24" s="41" t="s">
        <v>43</v>
      </c>
      <c r="Y24" s="28">
        <f>CQS!H5</f>
        <v>28.9</v>
      </c>
      <c r="Z24" s="25"/>
      <c r="AA24" s="28">
        <f>CQS!L5</f>
        <v>109</v>
      </c>
      <c r="AB24" s="25"/>
      <c r="AC24" s="39"/>
      <c r="AG24" s="10"/>
      <c r="AH24" s="11"/>
    </row>
    <row r="25" spans="3:35" ht="16.5" customHeight="1" x14ac:dyDescent="0.3">
      <c r="E25" s="3"/>
      <c r="F25" s="3"/>
      <c r="G25" s="3"/>
      <c r="H25" s="3"/>
      <c r="N25" s="41" t="s">
        <v>44</v>
      </c>
      <c r="O25" s="29">
        <f>CQS!G6</f>
        <v>9.3000000000000007</v>
      </c>
      <c r="P25" s="32"/>
      <c r="Q25" s="29">
        <f>CQS!K6</f>
        <v>9.3000000000000007</v>
      </c>
      <c r="R25" s="32"/>
      <c r="S25" s="38"/>
      <c r="T25" s="38"/>
      <c r="U25" s="38"/>
      <c r="X25" s="41" t="s">
        <v>44</v>
      </c>
      <c r="Y25" s="29">
        <f>CQS!H6</f>
        <v>28.8</v>
      </c>
      <c r="Z25" s="26"/>
      <c r="AA25" s="29">
        <f>CQS!L6</f>
        <v>108.9</v>
      </c>
      <c r="AB25" s="26"/>
      <c r="AG25" s="10"/>
      <c r="AH25" s="11"/>
    </row>
    <row r="26" spans="3:35" ht="16.5" customHeight="1" x14ac:dyDescent="0.3">
      <c r="E26" s="3"/>
      <c r="F26" s="3"/>
      <c r="G26" s="3"/>
      <c r="H26" s="3"/>
      <c r="N26" s="41" t="s">
        <v>45</v>
      </c>
      <c r="O26" s="28">
        <f>CQS!G7</f>
        <v>9.3000000000000007</v>
      </c>
      <c r="P26" s="31"/>
      <c r="Q26" s="28">
        <f>CQS!K7</f>
        <v>9.3000000000000007</v>
      </c>
      <c r="R26" s="31"/>
      <c r="S26" s="39"/>
      <c r="T26" s="38"/>
      <c r="U26" s="38"/>
      <c r="X26" s="41" t="s">
        <v>45</v>
      </c>
      <c r="Y26" s="28">
        <f>CQS!H7</f>
        <v>28.8</v>
      </c>
      <c r="Z26" s="25"/>
      <c r="AA26" s="28">
        <f>CQS!L7</f>
        <v>108.9</v>
      </c>
      <c r="AB26" s="25"/>
      <c r="AG26" s="10"/>
      <c r="AH26" s="11"/>
    </row>
    <row r="27" spans="3:35" ht="16.5" customHeight="1" x14ac:dyDescent="0.3">
      <c r="E27" s="3"/>
      <c r="F27" s="3"/>
      <c r="G27" s="3"/>
      <c r="H27" s="3"/>
      <c r="N27" s="41" t="s">
        <v>46</v>
      </c>
      <c r="O27" s="32">
        <f>CQS!G8</f>
        <v>9.6</v>
      </c>
      <c r="P27" s="32"/>
      <c r="Q27" s="32">
        <f>CQS!K8</f>
        <v>9.6</v>
      </c>
      <c r="R27" s="32"/>
      <c r="S27" s="39"/>
      <c r="T27" s="38"/>
      <c r="U27" s="38"/>
      <c r="X27" s="41" t="s">
        <v>46</v>
      </c>
      <c r="Y27" s="29">
        <f>CQS!H8</f>
        <v>28.7</v>
      </c>
      <c r="Z27" s="26"/>
      <c r="AA27" s="29">
        <f>CQS!L8</f>
        <v>108.8</v>
      </c>
      <c r="AB27" s="26"/>
      <c r="AG27" s="10"/>
      <c r="AH27" s="11"/>
    </row>
    <row r="28" spans="3:35" ht="16.5" customHeight="1" x14ac:dyDescent="0.3">
      <c r="E28" s="3"/>
      <c r="F28" s="3"/>
      <c r="G28" s="3"/>
      <c r="H28" s="3"/>
      <c r="N28" s="41" t="s">
        <v>47</v>
      </c>
      <c r="O28" s="31">
        <f>CQS!G9</f>
        <v>9.9</v>
      </c>
      <c r="P28" s="31"/>
      <c r="Q28" s="31">
        <f>CQS!K9</f>
        <v>9.8000000000000007</v>
      </c>
      <c r="R28" s="31"/>
      <c r="S28" s="39"/>
      <c r="T28" s="38"/>
      <c r="U28" s="38"/>
      <c r="X28" s="41" t="s">
        <v>47</v>
      </c>
      <c r="Y28" s="28">
        <f>CQS!H9</f>
        <v>28.8</v>
      </c>
      <c r="Z28" s="25"/>
      <c r="AA28" s="28">
        <f>CQS!L9</f>
        <v>108.7</v>
      </c>
      <c r="AB28" s="25"/>
      <c r="AC28" s="39"/>
      <c r="AE28" s="39"/>
      <c r="AG28" s="10"/>
      <c r="AH28" s="11"/>
    </row>
    <row r="29" spans="3:35" ht="16.5" customHeight="1" x14ac:dyDescent="0.3">
      <c r="E29" s="3"/>
      <c r="F29" s="3"/>
      <c r="G29" s="3"/>
      <c r="H29" s="3"/>
      <c r="N29" s="41" t="s">
        <v>48</v>
      </c>
      <c r="O29" s="32">
        <f>CQS!G10</f>
        <v>10.1</v>
      </c>
      <c r="P29" s="32"/>
      <c r="Q29" s="32">
        <f>CQS!K10</f>
        <v>10.1</v>
      </c>
      <c r="R29" s="32"/>
      <c r="S29" s="38"/>
      <c r="T29" s="38"/>
      <c r="U29" s="38"/>
      <c r="X29" s="41" t="s">
        <v>48</v>
      </c>
      <c r="Y29" s="29">
        <f>CQS!H10</f>
        <v>28.8</v>
      </c>
      <c r="Z29" s="26"/>
      <c r="AA29" s="29">
        <f>CQS!L10</f>
        <v>108.8</v>
      </c>
      <c r="AB29" s="26"/>
      <c r="AC29" s="39"/>
      <c r="AG29" s="10"/>
      <c r="AH29" s="11"/>
    </row>
    <row r="30" spans="3:35" ht="16.5" customHeight="1" x14ac:dyDescent="0.25">
      <c r="E30" s="3"/>
      <c r="F30" s="3"/>
      <c r="G30" s="3"/>
      <c r="H30" s="3"/>
      <c r="N30" s="41" t="s">
        <v>49</v>
      </c>
      <c r="O30" s="31">
        <f>CQS!G11</f>
        <v>9.9</v>
      </c>
      <c r="P30" s="31"/>
      <c r="Q30" s="31">
        <f>CQS!K11</f>
        <v>9.9</v>
      </c>
      <c r="R30" s="31"/>
      <c r="S30" s="39"/>
      <c r="T30" s="38"/>
      <c r="U30" s="38"/>
      <c r="X30" s="41" t="s">
        <v>49</v>
      </c>
      <c r="Y30" s="28">
        <f>CQS!H11</f>
        <v>28.8</v>
      </c>
      <c r="Z30" s="25"/>
      <c r="AA30" s="28">
        <f>CQS!L11</f>
        <v>108.8</v>
      </c>
      <c r="AB30" s="25"/>
      <c r="AC30" s="39"/>
    </row>
    <row r="31" spans="3:35" ht="16.5" customHeight="1" x14ac:dyDescent="0.25">
      <c r="N31" s="41" t="s">
        <v>50</v>
      </c>
      <c r="O31" s="32">
        <f>CQS!G12</f>
        <v>9.9</v>
      </c>
      <c r="P31" s="32"/>
      <c r="Q31" s="32">
        <f>CQS!K12</f>
        <v>9.9</v>
      </c>
      <c r="R31" s="32"/>
      <c r="S31" s="38"/>
      <c r="T31" s="38"/>
      <c r="U31" s="38"/>
      <c r="X31" s="41" t="s">
        <v>50</v>
      </c>
      <c r="Y31" s="29">
        <f>CQS!H12</f>
        <v>28.8</v>
      </c>
      <c r="Z31" s="26"/>
      <c r="AA31" s="29">
        <f>CQS!L12</f>
        <v>108.9</v>
      </c>
      <c r="AB31" s="26"/>
      <c r="AC31" s="39"/>
    </row>
    <row r="34" spans="4:7" ht="15" x14ac:dyDescent="0.25">
      <c r="D34" s="3"/>
      <c r="E34" s="3"/>
      <c r="F34" s="3"/>
      <c r="G34" s="3"/>
    </row>
    <row r="35" spans="4:7" ht="15" x14ac:dyDescent="0.25">
      <c r="D35" s="3"/>
      <c r="E35" s="3"/>
      <c r="F35" s="3"/>
      <c r="G35" s="3"/>
    </row>
    <row r="36" spans="4:7" ht="15" x14ac:dyDescent="0.25">
      <c r="D36" s="3"/>
      <c r="E36" s="3"/>
      <c r="F36" s="3"/>
      <c r="G36" s="3"/>
    </row>
    <row r="37" spans="4:7" ht="15" x14ac:dyDescent="0.25">
      <c r="D37" s="3"/>
      <c r="E37" s="3"/>
      <c r="F37" s="3"/>
      <c r="G37" s="3"/>
    </row>
    <row r="38" spans="4:7" ht="15" x14ac:dyDescent="0.25">
      <c r="D38" s="3"/>
      <c r="E38" s="3"/>
      <c r="F38" s="3"/>
      <c r="G38" s="3"/>
    </row>
    <row r="39" spans="4:7" ht="15" x14ac:dyDescent="0.25">
      <c r="D39" s="3"/>
      <c r="E39" s="3"/>
      <c r="F39" s="3"/>
      <c r="G39" s="3"/>
    </row>
    <row r="40" spans="4:7" ht="15" x14ac:dyDescent="0.25">
      <c r="D40" s="3"/>
      <c r="E40" s="3"/>
      <c r="F40" s="3"/>
      <c r="G40" s="3"/>
    </row>
    <row r="41" spans="4:7" ht="15" x14ac:dyDescent="0.25">
      <c r="D41" s="3"/>
      <c r="E41" s="3"/>
      <c r="F41" s="3"/>
      <c r="G41" s="3"/>
    </row>
  </sheetData>
  <mergeCells count="3">
    <mergeCell ref="C4:H4"/>
    <mergeCell ref="AF15:AI15"/>
    <mergeCell ref="I21:L21"/>
  </mergeCells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5" r:id="rId4" name="m_cmdMachineValUpdate_A42F">
          <controlPr defaultSize="0" autoLine="0" r:id="rId5">
            <anchor moveWithCells="1">
              <from>
                <xdr:col>6</xdr:col>
                <xdr:colOff>95250</xdr:colOff>
                <xdr:row>21</xdr:row>
                <xdr:rowOff>190500</xdr:rowOff>
              </from>
              <to>
                <xdr:col>9</xdr:col>
                <xdr:colOff>57150</xdr:colOff>
                <xdr:row>25</xdr:row>
                <xdr:rowOff>123825</xdr:rowOff>
              </to>
            </anchor>
          </controlPr>
        </control>
      </mc:Choice>
      <mc:Fallback>
        <control shapeId="3085" r:id="rId4" name="m_cmdMachineValUpdate_A42F"/>
      </mc:Fallback>
    </mc:AlternateContent>
    <mc:AlternateContent xmlns:mc="http://schemas.openxmlformats.org/markup-compatibility/2006">
      <mc:Choice Requires="x14">
        <control shapeId="3084" r:id="rId6" name="m_cmdSlittersZeros_A42F">
          <controlPr defaultSize="0" autoLine="0" autoPict="0" r:id="rId7">
            <anchor moveWithCells="1">
              <from>
                <xdr:col>36</xdr:col>
                <xdr:colOff>171450</xdr:colOff>
                <xdr:row>8</xdr:row>
                <xdr:rowOff>561975</xdr:rowOff>
              </from>
              <to>
                <xdr:col>38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3084" r:id="rId6" name="m_cmdSlittersZeros_A42F"/>
      </mc:Fallback>
    </mc:AlternateContent>
    <mc:AlternateContent xmlns:mc="http://schemas.openxmlformats.org/markup-compatibility/2006">
      <mc:Choice Requires="x14">
        <control shapeId="3083" r:id="rId8" name="btn_direita_A42F">
          <controlPr defaultSize="0" autoLine="0" r:id="rId9">
            <anchor moveWithCells="1">
              <from>
                <xdr:col>33</xdr:col>
                <xdr:colOff>161925</xdr:colOff>
                <xdr:row>14</xdr:row>
                <xdr:rowOff>190500</xdr:rowOff>
              </from>
              <to>
                <xdr:col>34</xdr:col>
                <xdr:colOff>228600</xdr:colOff>
                <xdr:row>14</xdr:row>
                <xdr:rowOff>504825</xdr:rowOff>
              </to>
            </anchor>
          </controlPr>
        </control>
      </mc:Choice>
      <mc:Fallback>
        <control shapeId="3083" r:id="rId8" name="btn_direita_A42F"/>
      </mc:Fallback>
    </mc:AlternateContent>
    <mc:AlternateContent xmlns:mc="http://schemas.openxmlformats.org/markup-compatibility/2006">
      <mc:Choice Requires="x14">
        <control shapeId="3082" r:id="rId10" name="opt_slitter9">
          <controlPr defaultSize="0" autoLine="0" r:id="rId11">
            <anchor moveWithCells="1">
              <from>
                <xdr:col>29</xdr:col>
                <xdr:colOff>0</xdr:colOff>
                <xdr:row>15</xdr:row>
                <xdr:rowOff>9525</xdr:rowOff>
              </from>
              <to>
                <xdr:col>30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3082" r:id="rId10" name="opt_slitter9"/>
      </mc:Fallback>
    </mc:AlternateContent>
    <mc:AlternateContent xmlns:mc="http://schemas.openxmlformats.org/markup-compatibility/2006">
      <mc:Choice Requires="x14">
        <control shapeId="3081" r:id="rId12" name="opt_slitter8">
          <controlPr defaultSize="0" autoLine="0" r:id="rId11">
            <anchor moveWithCells="1">
              <from>
                <xdr:col>27</xdr:col>
                <xdr:colOff>9525</xdr:colOff>
                <xdr:row>15</xdr:row>
                <xdr:rowOff>9525</xdr:rowOff>
              </from>
              <to>
                <xdr:col>28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3081" r:id="rId12" name="opt_slitter8"/>
      </mc:Fallback>
    </mc:AlternateContent>
    <mc:AlternateContent xmlns:mc="http://schemas.openxmlformats.org/markup-compatibility/2006">
      <mc:Choice Requires="x14">
        <control shapeId="3080" r:id="rId13" name="opt_slitter7">
          <controlPr defaultSize="0" autoLine="0" r:id="rId11">
            <anchor moveWithCells="1">
              <from>
                <xdr:col>25</xdr:col>
                <xdr:colOff>9525</xdr:colOff>
                <xdr:row>15</xdr:row>
                <xdr:rowOff>9525</xdr:rowOff>
              </from>
              <to>
                <xdr:col>26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3080" r:id="rId13" name="opt_slitter7"/>
      </mc:Fallback>
    </mc:AlternateContent>
    <mc:AlternateContent xmlns:mc="http://schemas.openxmlformats.org/markup-compatibility/2006">
      <mc:Choice Requires="x14">
        <control shapeId="3079" r:id="rId14" name="opt_slitter6">
          <controlPr defaultSize="0" autoLine="0" r:id="rId11">
            <anchor moveWithCells="1">
              <from>
                <xdr:col>22</xdr:col>
                <xdr:colOff>419100</xdr:colOff>
                <xdr:row>15</xdr:row>
                <xdr:rowOff>9525</xdr:rowOff>
              </from>
              <to>
                <xdr:col>24</xdr:col>
                <xdr:colOff>9525</xdr:colOff>
                <xdr:row>16</xdr:row>
                <xdr:rowOff>19050</xdr:rowOff>
              </to>
            </anchor>
          </controlPr>
        </control>
      </mc:Choice>
      <mc:Fallback>
        <control shapeId="3079" r:id="rId14" name="opt_slitter6"/>
      </mc:Fallback>
    </mc:AlternateContent>
    <mc:AlternateContent xmlns:mc="http://schemas.openxmlformats.org/markup-compatibility/2006">
      <mc:Choice Requires="x14">
        <control shapeId="3078" r:id="rId15" name="opt_slitter5">
          <controlPr defaultSize="0" autoLine="0" r:id="rId11">
            <anchor moveWithCells="1">
              <from>
                <xdr:col>21</xdr:col>
                <xdr:colOff>0</xdr:colOff>
                <xdr:row>15</xdr:row>
                <xdr:rowOff>9525</xdr:rowOff>
              </from>
              <to>
                <xdr:col>22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3078" r:id="rId15" name="opt_slitter5"/>
      </mc:Fallback>
    </mc:AlternateContent>
    <mc:AlternateContent xmlns:mc="http://schemas.openxmlformats.org/markup-compatibility/2006">
      <mc:Choice Requires="x14">
        <control shapeId="3077" r:id="rId16" name="opt_slitter4">
          <controlPr defaultSize="0" autoLine="0" r:id="rId11">
            <anchor moveWithCells="1">
              <from>
                <xdr:col>19</xdr:col>
                <xdr:colOff>0</xdr:colOff>
                <xdr:row>15</xdr:row>
                <xdr:rowOff>9525</xdr:rowOff>
              </from>
              <to>
                <xdr:col>20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3077" r:id="rId16" name="opt_slitter4"/>
      </mc:Fallback>
    </mc:AlternateContent>
    <mc:AlternateContent xmlns:mc="http://schemas.openxmlformats.org/markup-compatibility/2006">
      <mc:Choice Requires="x14">
        <control shapeId="3076" r:id="rId17" name="opt_slitter3">
          <controlPr defaultSize="0" autoLine="0" r:id="rId11">
            <anchor moveWithCells="1">
              <from>
                <xdr:col>17</xdr:col>
                <xdr:colOff>0</xdr:colOff>
                <xdr:row>15</xdr:row>
                <xdr:rowOff>9525</xdr:rowOff>
              </from>
              <to>
                <xdr:col>18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3076" r:id="rId17" name="opt_slitter3"/>
      </mc:Fallback>
    </mc:AlternateContent>
    <mc:AlternateContent xmlns:mc="http://schemas.openxmlformats.org/markup-compatibility/2006">
      <mc:Choice Requires="x14">
        <control shapeId="3075" r:id="rId18" name="opt_slitter2">
          <controlPr defaultSize="0" autoLine="0" r:id="rId11">
            <anchor moveWithCells="1">
              <from>
                <xdr:col>15</xdr:col>
                <xdr:colOff>0</xdr:colOff>
                <xdr:row>15</xdr:row>
                <xdr:rowOff>9525</xdr:rowOff>
              </from>
              <to>
                <xdr:col>16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3075" r:id="rId18" name="opt_slitter2"/>
      </mc:Fallback>
    </mc:AlternateContent>
    <mc:AlternateContent xmlns:mc="http://schemas.openxmlformats.org/markup-compatibility/2006">
      <mc:Choice Requires="x14">
        <control shapeId="3074" r:id="rId19" name="opt_slitter1">
          <controlPr autoLine="0" r:id="rId20">
            <anchor moveWithCells="1">
              <from>
                <xdr:col>13</xdr:col>
                <xdr:colOff>0</xdr:colOff>
                <xdr:row>15</xdr:row>
                <xdr:rowOff>9525</xdr:rowOff>
              </from>
              <to>
                <xdr:col>14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3074" r:id="rId19" name="opt_slitter1"/>
      </mc:Fallback>
    </mc:AlternateContent>
    <mc:AlternateContent xmlns:mc="http://schemas.openxmlformats.org/markup-compatibility/2006">
      <mc:Choice Requires="x14">
        <control shapeId="3073" r:id="rId21" name="btn_esquerda_A42F">
          <controlPr defaultSize="0" autoLine="0" r:id="rId22">
            <anchor moveWithCells="1">
              <from>
                <xdr:col>31</xdr:col>
                <xdr:colOff>161925</xdr:colOff>
                <xdr:row>14</xdr:row>
                <xdr:rowOff>190500</xdr:rowOff>
              </from>
              <to>
                <xdr:col>32</xdr:col>
                <xdr:colOff>304800</xdr:colOff>
                <xdr:row>14</xdr:row>
                <xdr:rowOff>504825</xdr:rowOff>
              </to>
            </anchor>
          </controlPr>
        </control>
      </mc:Choice>
      <mc:Fallback>
        <control shapeId="3073" r:id="rId21" name="btn_esquerda_A42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6"/>
  <dimension ref="C3:AI41"/>
  <sheetViews>
    <sheetView showGridLines="0" workbookViewId="0">
      <selection activeCell="AI28" sqref="AI28"/>
    </sheetView>
  </sheetViews>
  <sheetFormatPr defaultRowHeight="12.75" customHeight="1" x14ac:dyDescent="0.25"/>
  <cols>
    <col min="1" max="1" width="5" customWidth="1"/>
    <col min="2" max="2" width="4.5703125" customWidth="1"/>
    <col min="3" max="3" width="6.28515625" customWidth="1"/>
    <col min="4" max="4" width="0.85546875" customWidth="1"/>
    <col min="5" max="5" width="6" customWidth="1"/>
    <col min="6" max="6" width="0.85546875" customWidth="1"/>
    <col min="7" max="7" width="5.42578125" customWidth="1"/>
    <col min="8" max="8" width="7.28515625" bestFit="1" customWidth="1"/>
    <col min="9" max="14" width="3.7109375" customWidth="1"/>
    <col min="15" max="15" width="6.42578125" customWidth="1"/>
    <col min="16" max="16" width="3.7109375" customWidth="1"/>
    <col min="17" max="17" width="6.42578125" customWidth="1"/>
    <col min="18" max="18" width="3.7109375" customWidth="1"/>
    <col min="19" max="19" width="6.42578125" customWidth="1"/>
    <col min="20" max="20" width="3.7109375" customWidth="1"/>
    <col min="21" max="21" width="6.42578125" customWidth="1"/>
    <col min="22" max="22" width="3.7109375" customWidth="1"/>
    <col min="23" max="23" width="6.42578125" customWidth="1"/>
    <col min="24" max="24" width="3.7109375" customWidth="1"/>
    <col min="25" max="25" width="6.42578125" customWidth="1"/>
    <col min="26" max="26" width="3.7109375" customWidth="1"/>
    <col min="27" max="27" width="6.42578125" customWidth="1"/>
    <col min="28" max="28" width="3.7109375" customWidth="1"/>
    <col min="29" max="29" width="6.42578125" customWidth="1"/>
    <col min="30" max="30" width="3.7109375" customWidth="1"/>
    <col min="31" max="31" width="6.42578125" customWidth="1"/>
    <col min="32" max="32" width="3.5703125" customWidth="1"/>
    <col min="33" max="34" width="4.7109375" customWidth="1"/>
    <col min="35" max="35" width="6.140625" customWidth="1"/>
  </cols>
  <sheetData>
    <row r="3" spans="3:35" ht="20.25" x14ac:dyDescent="0.3">
      <c r="C3" s="1" t="s">
        <v>0</v>
      </c>
      <c r="D3" s="1"/>
      <c r="E3" s="1"/>
      <c r="F3" s="1"/>
      <c r="G3" s="1"/>
    </row>
    <row r="4" spans="3:35" ht="15" x14ac:dyDescent="0.25">
      <c r="C4" s="44" t="s">
        <v>51</v>
      </c>
      <c r="D4" s="44"/>
      <c r="E4" s="44"/>
      <c r="F4" s="44"/>
      <c r="G4" s="44"/>
      <c r="H4" s="44"/>
    </row>
    <row r="5" spans="3:35" ht="15" x14ac:dyDescent="0.25">
      <c r="K5" s="2"/>
      <c r="L5" s="2"/>
      <c r="M5" s="2"/>
    </row>
    <row r="6" spans="3:35" ht="15" x14ac:dyDescent="0.25">
      <c r="O6" s="27">
        <f>CQS!C5+(-N11*0.1)+(P11*0.1)</f>
        <v>211.20000000000002</v>
      </c>
      <c r="Q6" s="27">
        <f>CQS!C6+(-P11*0.1)+(R11*0.1)</f>
        <v>210.2</v>
      </c>
      <c r="S6" s="27">
        <f>CQS!C7 + (-R11*0.1) +(T11*0.1)</f>
        <v>210.4</v>
      </c>
      <c r="U6" s="27">
        <f>CQS!C8 + (-T11*0.1) + (V11*0.1)</f>
        <v>210.39999999999998</v>
      </c>
      <c r="W6" s="27">
        <f>CQS!C9 + (-V11*0.1) + (X11*0.1)</f>
        <v>210</v>
      </c>
      <c r="Y6" s="27">
        <f>CQS!C10 + (-X11*0.1) + (Z11*0.1)</f>
        <v>210.7</v>
      </c>
      <c r="AA6" s="27">
        <f>CQS!C11 + (-Z11*0.1) + (AB11*0.1)</f>
        <v>209.7</v>
      </c>
      <c r="AC6" s="5">
        <f>CQS!C12  + (AD11*0.1)</f>
        <v>215.2</v>
      </c>
      <c r="AE6" t="s">
        <v>10</v>
      </c>
      <c r="AF6" t="s">
        <v>9</v>
      </c>
    </row>
    <row r="7" spans="3:35" ht="15" x14ac:dyDescent="0.25">
      <c r="O7" s="6">
        <f>CQS!G5 + (-N11*0.1)</f>
        <v>9.6999999999999993</v>
      </c>
      <c r="Q7" s="6">
        <f>CQS!G6 + (-P11*0.1)</f>
        <v>9</v>
      </c>
      <c r="S7" s="6">
        <f>CQS!G7 +(- R11*0.1)</f>
        <v>9.3000000000000007</v>
      </c>
      <c r="U7" s="6">
        <f>CQS!G8+(-T11*0.1)</f>
        <v>9.6</v>
      </c>
      <c r="W7" s="6">
        <f>CQS!G9 + (-V11*0.1)</f>
        <v>9.7000000000000011</v>
      </c>
      <c r="Y7" s="6">
        <f>CQS!G10 + (-X11*0.1)</f>
        <v>10.1</v>
      </c>
      <c r="AA7" s="6">
        <f>CQS!G11 + (-Z11*0.1)</f>
        <v>9.9</v>
      </c>
      <c r="AC7" s="6">
        <f>CQS!G12 + (-AB11*0.1)</f>
        <v>10.8</v>
      </c>
      <c r="AE7" s="3" t="s">
        <v>10</v>
      </c>
      <c r="AF7" s="3" t="s">
        <v>11</v>
      </c>
      <c r="AG7" s="3"/>
      <c r="AH7" s="3"/>
      <c r="AI7" s="3"/>
    </row>
    <row r="8" spans="3:35" ht="6.75" customHeight="1" x14ac:dyDescent="0.25">
      <c r="O8" s="3"/>
      <c r="Q8" s="3"/>
      <c r="S8" s="3"/>
      <c r="U8" s="3"/>
      <c r="W8" s="3"/>
      <c r="Y8" s="3"/>
      <c r="AA8" s="3"/>
      <c r="AC8" s="3"/>
    </row>
    <row r="9" spans="3:35" ht="45" customHeight="1" x14ac:dyDescent="0.25">
      <c r="O9" s="4" t="s">
        <v>19</v>
      </c>
      <c r="Q9" s="4" t="s">
        <v>12</v>
      </c>
      <c r="S9" s="4" t="s">
        <v>13</v>
      </c>
      <c r="U9" s="4" t="s">
        <v>14</v>
      </c>
      <c r="W9" s="4" t="s">
        <v>15</v>
      </c>
      <c r="Y9" s="4" t="s">
        <v>16</v>
      </c>
      <c r="AA9" s="4" t="s">
        <v>17</v>
      </c>
      <c r="AC9" s="4" t="s">
        <v>18</v>
      </c>
    </row>
    <row r="10" spans="3:35" ht="6" customHeight="1" x14ac:dyDescent="0.25">
      <c r="O10" s="3"/>
      <c r="Q10" s="3"/>
    </row>
    <row r="11" spans="3:35" ht="15" x14ac:dyDescent="0.25">
      <c r="N11" s="12">
        <v>-5</v>
      </c>
      <c r="P11" s="12">
        <v>3</v>
      </c>
      <c r="R11" s="12">
        <v>0</v>
      </c>
      <c r="T11" s="12">
        <v>0</v>
      </c>
      <c r="V11" s="12">
        <v>2</v>
      </c>
      <c r="X11" s="12">
        <v>0</v>
      </c>
      <c r="Z11" s="12">
        <v>0</v>
      </c>
      <c r="AB11" s="12">
        <v>-9</v>
      </c>
      <c r="AD11" s="12">
        <v>52</v>
      </c>
      <c r="AF11" t="s">
        <v>10</v>
      </c>
      <c r="AG11" t="s">
        <v>23</v>
      </c>
    </row>
    <row r="12" spans="3:35" ht="3.75" customHeight="1" x14ac:dyDescent="0.25"/>
    <row r="13" spans="3:35" ht="15" x14ac:dyDescent="0.25">
      <c r="N13" s="7">
        <v>0</v>
      </c>
      <c r="P13" s="7">
        <v>3</v>
      </c>
      <c r="R13" s="7">
        <v>0</v>
      </c>
      <c r="T13" s="7">
        <v>0</v>
      </c>
      <c r="V13" s="7">
        <v>2</v>
      </c>
      <c r="X13" s="7">
        <v>0</v>
      </c>
      <c r="Z13" s="7">
        <v>0</v>
      </c>
      <c r="AB13" s="7">
        <v>0</v>
      </c>
      <c r="AD13" s="7">
        <v>0</v>
      </c>
      <c r="AF13" t="s">
        <v>10</v>
      </c>
      <c r="AG13" t="s">
        <v>22</v>
      </c>
    </row>
    <row r="14" spans="3:35" ht="3.75" customHeight="1" x14ac:dyDescent="0.25">
      <c r="AD14">
        <f>AH29+AD11</f>
        <v>52</v>
      </c>
    </row>
    <row r="15" spans="3:35" ht="41.25" x14ac:dyDescent="0.25">
      <c r="N15" s="4" t="s">
        <v>20</v>
      </c>
      <c r="P15" s="4" t="s">
        <v>2</v>
      </c>
      <c r="R15" s="4" t="s">
        <v>3</v>
      </c>
      <c r="T15" s="4" t="s">
        <v>1</v>
      </c>
      <c r="V15" s="4" t="s">
        <v>4</v>
      </c>
      <c r="X15" s="4" t="s">
        <v>5</v>
      </c>
      <c r="Z15" s="4" t="s">
        <v>6</v>
      </c>
      <c r="AB15" s="4" t="s">
        <v>7</v>
      </c>
      <c r="AD15" s="4" t="s">
        <v>8</v>
      </c>
      <c r="AF15" s="46" t="s">
        <v>21</v>
      </c>
      <c r="AG15" s="47"/>
      <c r="AH15" s="47"/>
      <c r="AI15" s="48"/>
    </row>
    <row r="16" spans="3:35" ht="16.5" customHeight="1" x14ac:dyDescent="0.25">
      <c r="K16" s="2"/>
      <c r="L16" s="2"/>
    </row>
    <row r="17" spans="3:35" ht="2.25" customHeight="1" x14ac:dyDescent="0.25">
      <c r="K17" s="2"/>
      <c r="L17" s="2"/>
    </row>
    <row r="18" spans="3:35" ht="16.5" customHeight="1" x14ac:dyDescent="0.25">
      <c r="K18" s="2"/>
      <c r="L18" s="2"/>
      <c r="N18" s="12">
        <v>0</v>
      </c>
      <c r="O18" s="13"/>
      <c r="P18" s="15">
        <v>0</v>
      </c>
      <c r="Q18" s="16"/>
      <c r="R18" s="17">
        <v>0</v>
      </c>
      <c r="S18" s="13"/>
      <c r="T18" s="15">
        <v>0</v>
      </c>
      <c r="U18" s="13"/>
      <c r="V18" s="17">
        <v>0</v>
      </c>
      <c r="W18" s="13"/>
      <c r="X18" s="17">
        <v>0</v>
      </c>
      <c r="Y18" s="13"/>
      <c r="Z18" s="17">
        <v>0</v>
      </c>
      <c r="AA18" s="13"/>
      <c r="AB18" s="12">
        <v>0</v>
      </c>
      <c r="AC18" s="13"/>
      <c r="AD18" s="17">
        <v>0</v>
      </c>
      <c r="AE18" s="13"/>
      <c r="AF18" s="9" t="s">
        <v>24</v>
      </c>
    </row>
    <row r="19" spans="3:35" ht="16.5" customHeight="1" x14ac:dyDescent="0.25">
      <c r="K19" s="2"/>
      <c r="L19" s="2"/>
      <c r="P19" s="14"/>
      <c r="R19" s="14"/>
      <c r="T19" s="14"/>
      <c r="V19" s="14"/>
      <c r="X19" s="14"/>
      <c r="Z19" s="14"/>
      <c r="AB19" s="14"/>
      <c r="AD19" s="14"/>
    </row>
    <row r="20" spans="3:35" ht="18.75" customHeight="1" x14ac:dyDescent="0.25">
      <c r="K20" s="2"/>
      <c r="L20" s="2"/>
      <c r="AF20" s="8"/>
      <c r="AG20" s="8"/>
      <c r="AH20" s="8"/>
      <c r="AI20" s="8"/>
    </row>
    <row r="21" spans="3:35" ht="18.75" customHeight="1" x14ac:dyDescent="0.3">
      <c r="I21" s="45"/>
      <c r="J21" s="45"/>
      <c r="K21" s="45"/>
      <c r="L21" s="45"/>
      <c r="V21" s="23"/>
      <c r="W21" s="23"/>
      <c r="AG21" s="10"/>
      <c r="AH21" s="11"/>
    </row>
    <row r="22" spans="3:35" ht="18.75" customHeight="1" x14ac:dyDescent="0.3">
      <c r="C22" s="20"/>
      <c r="D22" s="20"/>
      <c r="E22" s="20"/>
      <c r="F22" s="21"/>
      <c r="G22" s="20"/>
      <c r="H22" s="20"/>
      <c r="AG22" s="10"/>
      <c r="AH22" s="11"/>
    </row>
    <row r="23" spans="3:35" ht="18.75" customHeight="1" x14ac:dyDescent="0.3">
      <c r="E23" s="3"/>
      <c r="F23" s="3"/>
      <c r="G23" s="3"/>
      <c r="H23" s="3"/>
      <c r="O23" s="40" t="s">
        <v>25</v>
      </c>
      <c r="P23" s="40"/>
      <c r="Q23" s="40" t="s">
        <v>31</v>
      </c>
      <c r="R23" s="40"/>
      <c r="S23" s="40" t="s">
        <v>35</v>
      </c>
      <c r="T23" s="23"/>
      <c r="U23" s="23"/>
      <c r="Y23" s="40" t="s">
        <v>26</v>
      </c>
      <c r="Z23" s="40"/>
      <c r="AA23" s="40" t="s">
        <v>32</v>
      </c>
      <c r="AB23" s="40"/>
      <c r="AC23" s="40" t="s">
        <v>36</v>
      </c>
      <c r="AD23" s="23"/>
      <c r="AE23" s="23"/>
      <c r="AG23" s="10"/>
      <c r="AH23" s="11"/>
    </row>
    <row r="24" spans="3:35" ht="16.5" customHeight="1" x14ac:dyDescent="0.3">
      <c r="E24" s="3"/>
      <c r="F24" s="3"/>
      <c r="G24" s="3"/>
      <c r="H24" s="3"/>
      <c r="N24" s="41" t="s">
        <v>43</v>
      </c>
      <c r="O24" s="33">
        <f>CQS!G5</f>
        <v>9.1999999999999993</v>
      </c>
      <c r="P24" s="31"/>
      <c r="Q24" s="30">
        <f>CQS!K5</f>
        <v>9.1999999999999993</v>
      </c>
      <c r="R24" s="31"/>
      <c r="S24" s="33">
        <f>CQS!O5</f>
        <v>9.1999999999999993</v>
      </c>
      <c r="T24" s="36"/>
      <c r="U24" s="37"/>
      <c r="X24" s="41" t="s">
        <v>43</v>
      </c>
      <c r="Y24" s="28">
        <f>CQS!H5</f>
        <v>28.9</v>
      </c>
      <c r="Z24" s="25"/>
      <c r="AA24" s="31">
        <f>CQS!L5</f>
        <v>109</v>
      </c>
      <c r="AB24" s="25"/>
      <c r="AC24" s="28">
        <f>CQS!P5</f>
        <v>189.1</v>
      </c>
      <c r="AG24" s="10"/>
      <c r="AH24" s="11"/>
    </row>
    <row r="25" spans="3:35" ht="16.5" customHeight="1" x14ac:dyDescent="0.3">
      <c r="E25" s="3"/>
      <c r="F25" s="3"/>
      <c r="G25" s="3"/>
      <c r="H25" s="3"/>
      <c r="N25" s="41" t="s">
        <v>44</v>
      </c>
      <c r="O25" s="32">
        <f>CQS!G6</f>
        <v>9.3000000000000007</v>
      </c>
      <c r="P25" s="32"/>
      <c r="Q25" s="29">
        <f>CQS!K6</f>
        <v>9.3000000000000007</v>
      </c>
      <c r="R25" s="32"/>
      <c r="S25" s="32">
        <f>CQS!O6</f>
        <v>9.3000000000000007</v>
      </c>
      <c r="T25" s="38"/>
      <c r="U25" s="39"/>
      <c r="X25" s="41" t="s">
        <v>44</v>
      </c>
      <c r="Y25" s="29">
        <f>CQS!H6</f>
        <v>28.8</v>
      </c>
      <c r="Z25" s="26"/>
      <c r="AA25" s="29">
        <f>CQS!L6</f>
        <v>108.9</v>
      </c>
      <c r="AB25" s="26"/>
      <c r="AC25" s="29">
        <f>CQS!P6</f>
        <v>189</v>
      </c>
      <c r="AG25" s="10"/>
      <c r="AH25" s="11"/>
    </row>
    <row r="26" spans="3:35" ht="16.5" customHeight="1" x14ac:dyDescent="0.3">
      <c r="E26" s="3"/>
      <c r="F26" s="3"/>
      <c r="G26" s="3"/>
      <c r="H26" s="3"/>
      <c r="N26" s="41" t="s">
        <v>45</v>
      </c>
      <c r="O26" s="31">
        <f>CQS!G7</f>
        <v>9.3000000000000007</v>
      </c>
      <c r="P26" s="31"/>
      <c r="Q26" s="31">
        <f>CQS!K7</f>
        <v>9.3000000000000007</v>
      </c>
      <c r="R26" s="31"/>
      <c r="S26" s="31">
        <f>CQS!O7</f>
        <v>9.4</v>
      </c>
      <c r="T26" s="38"/>
      <c r="U26" s="39"/>
      <c r="X26" s="41" t="s">
        <v>45</v>
      </c>
      <c r="Y26" s="28">
        <f>CQS!H7</f>
        <v>28.8</v>
      </c>
      <c r="Z26" s="25"/>
      <c r="AA26" s="28">
        <f>CQS!L7</f>
        <v>108.9</v>
      </c>
      <c r="AB26" s="25"/>
      <c r="AC26" s="28">
        <f>CQS!P7</f>
        <v>188.9</v>
      </c>
      <c r="AG26" s="10"/>
      <c r="AH26" s="11"/>
    </row>
    <row r="27" spans="3:35" ht="16.5" customHeight="1" x14ac:dyDescent="0.3">
      <c r="E27" s="3"/>
      <c r="F27" s="3"/>
      <c r="G27" s="3"/>
      <c r="H27" s="3"/>
      <c r="N27" s="41" t="s">
        <v>46</v>
      </c>
      <c r="O27" s="32">
        <f>CQS!G8</f>
        <v>9.6</v>
      </c>
      <c r="P27" s="32"/>
      <c r="Q27" s="32">
        <f>CQS!K8</f>
        <v>9.6</v>
      </c>
      <c r="R27" s="32"/>
      <c r="S27" s="29">
        <f>CQS!O8</f>
        <v>9.6</v>
      </c>
      <c r="T27" s="38"/>
      <c r="U27" s="39"/>
      <c r="X27" s="41" t="s">
        <v>46</v>
      </c>
      <c r="Y27" s="29">
        <f>CQS!H8</f>
        <v>28.7</v>
      </c>
      <c r="Z27" s="26"/>
      <c r="AA27" s="29">
        <f>CQS!L8</f>
        <v>108.8</v>
      </c>
      <c r="AB27" s="26"/>
      <c r="AC27" s="29">
        <f>CQS!P8</f>
        <v>188.9</v>
      </c>
      <c r="AG27" s="10"/>
      <c r="AH27" s="11"/>
    </row>
    <row r="28" spans="3:35" ht="16.5" customHeight="1" x14ac:dyDescent="0.3">
      <c r="E28" s="3"/>
      <c r="F28" s="3"/>
      <c r="G28" s="3"/>
      <c r="H28" s="3"/>
      <c r="N28" s="41" t="s">
        <v>47</v>
      </c>
      <c r="O28" s="31">
        <f>CQS!G9</f>
        <v>9.9</v>
      </c>
      <c r="P28" s="31"/>
      <c r="Q28" s="31">
        <f>CQS!K9</f>
        <v>9.8000000000000007</v>
      </c>
      <c r="R28" s="31"/>
      <c r="S28" s="31">
        <f>CQS!O9</f>
        <v>9.9</v>
      </c>
      <c r="T28" s="38"/>
      <c r="U28" s="39"/>
      <c r="X28" s="41" t="s">
        <v>47</v>
      </c>
      <c r="Y28" s="28">
        <f>CQS!H9</f>
        <v>28.8</v>
      </c>
      <c r="Z28" s="25"/>
      <c r="AA28" s="28">
        <f>CQS!L9</f>
        <v>108.7</v>
      </c>
      <c r="AB28" s="25"/>
      <c r="AC28" s="28">
        <f>CQS!P9</f>
        <v>188.8</v>
      </c>
      <c r="AE28" s="39"/>
      <c r="AG28" s="10"/>
      <c r="AH28" s="11"/>
    </row>
    <row r="29" spans="3:35" ht="16.5" customHeight="1" x14ac:dyDescent="0.3">
      <c r="E29" s="3"/>
      <c r="F29" s="3"/>
      <c r="G29" s="3"/>
      <c r="H29" s="3"/>
      <c r="N29" s="41" t="s">
        <v>48</v>
      </c>
      <c r="O29" s="32">
        <f>CQS!G10</f>
        <v>10.1</v>
      </c>
      <c r="P29" s="32"/>
      <c r="Q29" s="29">
        <f>CQS!K10</f>
        <v>10.1</v>
      </c>
      <c r="R29" s="32"/>
      <c r="S29" s="32">
        <f>CQS!O10</f>
        <v>10.1</v>
      </c>
      <c r="T29" s="38"/>
      <c r="U29" s="39"/>
      <c r="X29" s="41" t="s">
        <v>48</v>
      </c>
      <c r="Y29" s="29">
        <f>CQS!H10</f>
        <v>28.8</v>
      </c>
      <c r="Z29" s="26"/>
      <c r="AA29" s="29">
        <f>CQS!L10</f>
        <v>108.8</v>
      </c>
      <c r="AB29" s="26"/>
      <c r="AC29" s="29">
        <f>CQS!P10</f>
        <v>188.9</v>
      </c>
      <c r="AG29" s="10"/>
      <c r="AH29" s="11"/>
    </row>
    <row r="30" spans="3:35" ht="16.5" customHeight="1" x14ac:dyDescent="0.25">
      <c r="E30" s="3"/>
      <c r="F30" s="3"/>
      <c r="G30" s="3"/>
      <c r="H30" s="3"/>
      <c r="N30" s="41" t="s">
        <v>49</v>
      </c>
      <c r="O30" s="31">
        <f>CQS!G11</f>
        <v>9.9</v>
      </c>
      <c r="P30" s="31"/>
      <c r="Q30" s="31">
        <f>CQS!K11</f>
        <v>9.9</v>
      </c>
      <c r="R30" s="31"/>
      <c r="S30" s="31">
        <f>CQS!O11</f>
        <v>9.9</v>
      </c>
      <c r="T30" s="38"/>
      <c r="U30" s="39"/>
      <c r="X30" s="41" t="s">
        <v>49</v>
      </c>
      <c r="Y30" s="28">
        <f>CQS!H11</f>
        <v>28.8</v>
      </c>
      <c r="Z30" s="25"/>
      <c r="AA30" s="28">
        <f>CQS!L11</f>
        <v>108.8</v>
      </c>
      <c r="AB30" s="25"/>
      <c r="AC30" s="28">
        <f>CQS!P11</f>
        <v>189</v>
      </c>
    </row>
    <row r="31" spans="3:35" ht="16.5" customHeight="1" x14ac:dyDescent="0.25">
      <c r="N31" s="41" t="s">
        <v>50</v>
      </c>
      <c r="O31" s="29">
        <f>CQS!G12</f>
        <v>9.9</v>
      </c>
      <c r="P31" s="32"/>
      <c r="Q31" s="32">
        <f>CQS!K12</f>
        <v>9.9</v>
      </c>
      <c r="R31" s="32"/>
      <c r="S31" s="29">
        <f>CQS!O12</f>
        <v>9.9</v>
      </c>
      <c r="T31" s="38"/>
      <c r="U31" s="39"/>
      <c r="X31" s="41" t="s">
        <v>50</v>
      </c>
      <c r="Y31" s="29">
        <f>CQS!H12</f>
        <v>28.8</v>
      </c>
      <c r="Z31" s="26"/>
      <c r="AA31" s="29">
        <f>CQS!L12</f>
        <v>108.9</v>
      </c>
      <c r="AB31" s="26"/>
      <c r="AC31" s="29">
        <f>CQS!P12</f>
        <v>189</v>
      </c>
    </row>
    <row r="34" spans="4:7" ht="15" x14ac:dyDescent="0.25">
      <c r="D34" s="3"/>
      <c r="E34" s="3"/>
      <c r="F34" s="3"/>
      <c r="G34" s="3"/>
    </row>
    <row r="35" spans="4:7" ht="15" x14ac:dyDescent="0.25">
      <c r="D35" s="3"/>
      <c r="E35" s="3"/>
      <c r="F35" s="3"/>
      <c r="G35" s="3"/>
    </row>
    <row r="36" spans="4:7" ht="15" x14ac:dyDescent="0.25">
      <c r="D36" s="3"/>
      <c r="E36" s="3"/>
      <c r="F36" s="3"/>
      <c r="G36" s="3"/>
    </row>
    <row r="37" spans="4:7" ht="15" x14ac:dyDescent="0.25">
      <c r="D37" s="3"/>
      <c r="E37" s="3"/>
      <c r="F37" s="3"/>
      <c r="G37" s="3"/>
    </row>
    <row r="38" spans="4:7" ht="15" x14ac:dyDescent="0.25">
      <c r="D38" s="3"/>
      <c r="E38" s="3"/>
      <c r="F38" s="3"/>
      <c r="G38" s="3"/>
    </row>
    <row r="39" spans="4:7" ht="15" x14ac:dyDescent="0.25">
      <c r="D39" s="3"/>
      <c r="E39" s="3"/>
      <c r="F39" s="3"/>
      <c r="G39" s="3"/>
    </row>
    <row r="40" spans="4:7" ht="15" x14ac:dyDescent="0.25">
      <c r="D40" s="3"/>
      <c r="E40" s="3"/>
      <c r="F40" s="3"/>
      <c r="G40" s="3"/>
    </row>
    <row r="41" spans="4:7" ht="15" x14ac:dyDescent="0.25">
      <c r="D41" s="3"/>
      <c r="E41" s="3"/>
      <c r="F41" s="3"/>
      <c r="G41" s="3"/>
    </row>
  </sheetData>
  <mergeCells count="3">
    <mergeCell ref="C4:H4"/>
    <mergeCell ref="AF15:AI15"/>
    <mergeCell ref="I21:L21"/>
  </mergeCells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btn_esquerda_LT">
          <controlPr defaultSize="0" autoLine="0" r:id="rId5">
            <anchor moveWithCells="1">
              <from>
                <xdr:col>31</xdr:col>
                <xdr:colOff>161925</xdr:colOff>
                <xdr:row>14</xdr:row>
                <xdr:rowOff>190500</xdr:rowOff>
              </from>
              <to>
                <xdr:col>32</xdr:col>
                <xdr:colOff>304800</xdr:colOff>
                <xdr:row>14</xdr:row>
                <xdr:rowOff>504825</xdr:rowOff>
              </to>
            </anchor>
          </controlPr>
        </control>
      </mc:Choice>
      <mc:Fallback>
        <control shapeId="4097" r:id="rId4" name="btn_esquerda_LT"/>
      </mc:Fallback>
    </mc:AlternateContent>
    <mc:AlternateContent xmlns:mc="http://schemas.openxmlformats.org/markup-compatibility/2006">
      <mc:Choice Requires="x14">
        <control shapeId="4098" r:id="rId6" name="opt_slitter1">
          <controlPr autoLine="0" r:id="rId7">
            <anchor moveWithCells="1">
              <from>
                <xdr:col>13</xdr:col>
                <xdr:colOff>0</xdr:colOff>
                <xdr:row>15</xdr:row>
                <xdr:rowOff>9525</xdr:rowOff>
              </from>
              <to>
                <xdr:col>14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4098" r:id="rId6" name="opt_slitter1"/>
      </mc:Fallback>
    </mc:AlternateContent>
    <mc:AlternateContent xmlns:mc="http://schemas.openxmlformats.org/markup-compatibility/2006">
      <mc:Choice Requires="x14">
        <control shapeId="4099" r:id="rId8" name="opt_slitter2">
          <controlPr defaultSize="0" autoLine="0" r:id="rId7">
            <anchor moveWithCells="1">
              <from>
                <xdr:col>15</xdr:col>
                <xdr:colOff>0</xdr:colOff>
                <xdr:row>15</xdr:row>
                <xdr:rowOff>9525</xdr:rowOff>
              </from>
              <to>
                <xdr:col>16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4099" r:id="rId8" name="opt_slitter2"/>
      </mc:Fallback>
    </mc:AlternateContent>
    <mc:AlternateContent xmlns:mc="http://schemas.openxmlformats.org/markup-compatibility/2006">
      <mc:Choice Requires="x14">
        <control shapeId="4100" r:id="rId9" name="opt_slitter3">
          <controlPr defaultSize="0" autoLine="0" r:id="rId7">
            <anchor moveWithCells="1">
              <from>
                <xdr:col>17</xdr:col>
                <xdr:colOff>0</xdr:colOff>
                <xdr:row>15</xdr:row>
                <xdr:rowOff>9525</xdr:rowOff>
              </from>
              <to>
                <xdr:col>18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4100" r:id="rId9" name="opt_slitter3"/>
      </mc:Fallback>
    </mc:AlternateContent>
    <mc:AlternateContent xmlns:mc="http://schemas.openxmlformats.org/markup-compatibility/2006">
      <mc:Choice Requires="x14">
        <control shapeId="4101" r:id="rId10" name="opt_slitter4">
          <controlPr defaultSize="0" autoLine="0" r:id="rId7">
            <anchor moveWithCells="1">
              <from>
                <xdr:col>19</xdr:col>
                <xdr:colOff>0</xdr:colOff>
                <xdr:row>15</xdr:row>
                <xdr:rowOff>9525</xdr:rowOff>
              </from>
              <to>
                <xdr:col>20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4101" r:id="rId10" name="opt_slitter4"/>
      </mc:Fallback>
    </mc:AlternateContent>
    <mc:AlternateContent xmlns:mc="http://schemas.openxmlformats.org/markup-compatibility/2006">
      <mc:Choice Requires="x14">
        <control shapeId="4102" r:id="rId11" name="opt_slitter5">
          <controlPr defaultSize="0" autoLine="0" r:id="rId7">
            <anchor moveWithCells="1">
              <from>
                <xdr:col>21</xdr:col>
                <xdr:colOff>0</xdr:colOff>
                <xdr:row>15</xdr:row>
                <xdr:rowOff>9525</xdr:rowOff>
              </from>
              <to>
                <xdr:col>22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4102" r:id="rId11" name="opt_slitter5"/>
      </mc:Fallback>
    </mc:AlternateContent>
    <mc:AlternateContent xmlns:mc="http://schemas.openxmlformats.org/markup-compatibility/2006">
      <mc:Choice Requires="x14">
        <control shapeId="4103" r:id="rId12" name="opt_slitter6">
          <controlPr defaultSize="0" autoLine="0" r:id="rId7">
            <anchor moveWithCells="1">
              <from>
                <xdr:col>22</xdr:col>
                <xdr:colOff>419100</xdr:colOff>
                <xdr:row>15</xdr:row>
                <xdr:rowOff>9525</xdr:rowOff>
              </from>
              <to>
                <xdr:col>24</xdr:col>
                <xdr:colOff>9525</xdr:colOff>
                <xdr:row>16</xdr:row>
                <xdr:rowOff>19050</xdr:rowOff>
              </to>
            </anchor>
          </controlPr>
        </control>
      </mc:Choice>
      <mc:Fallback>
        <control shapeId="4103" r:id="rId12" name="opt_slitter6"/>
      </mc:Fallback>
    </mc:AlternateContent>
    <mc:AlternateContent xmlns:mc="http://schemas.openxmlformats.org/markup-compatibility/2006">
      <mc:Choice Requires="x14">
        <control shapeId="4104" r:id="rId13" name="opt_slitter7">
          <controlPr defaultSize="0" autoLine="0" r:id="rId7">
            <anchor moveWithCells="1">
              <from>
                <xdr:col>25</xdr:col>
                <xdr:colOff>9525</xdr:colOff>
                <xdr:row>15</xdr:row>
                <xdr:rowOff>9525</xdr:rowOff>
              </from>
              <to>
                <xdr:col>26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4104" r:id="rId13" name="opt_slitter7"/>
      </mc:Fallback>
    </mc:AlternateContent>
    <mc:AlternateContent xmlns:mc="http://schemas.openxmlformats.org/markup-compatibility/2006">
      <mc:Choice Requires="x14">
        <control shapeId="4105" r:id="rId14" name="opt_slitter8">
          <controlPr defaultSize="0" autoLine="0" r:id="rId7">
            <anchor moveWithCells="1">
              <from>
                <xdr:col>27</xdr:col>
                <xdr:colOff>9525</xdr:colOff>
                <xdr:row>15</xdr:row>
                <xdr:rowOff>9525</xdr:rowOff>
              </from>
              <to>
                <xdr:col>28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4105" r:id="rId14" name="opt_slitter8"/>
      </mc:Fallback>
    </mc:AlternateContent>
    <mc:AlternateContent xmlns:mc="http://schemas.openxmlformats.org/markup-compatibility/2006">
      <mc:Choice Requires="x14">
        <control shapeId="4106" r:id="rId15" name="opt_slitter9">
          <controlPr defaultSize="0" autoLine="0" r:id="rId7">
            <anchor moveWithCells="1">
              <from>
                <xdr:col>29</xdr:col>
                <xdr:colOff>0</xdr:colOff>
                <xdr:row>15</xdr:row>
                <xdr:rowOff>9525</xdr:rowOff>
              </from>
              <to>
                <xdr:col>30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4106" r:id="rId15" name="opt_slitter9"/>
      </mc:Fallback>
    </mc:AlternateContent>
    <mc:AlternateContent xmlns:mc="http://schemas.openxmlformats.org/markup-compatibility/2006">
      <mc:Choice Requires="x14">
        <control shapeId="4107" r:id="rId16" name="btn_direita_LT">
          <controlPr defaultSize="0" autoLine="0" r:id="rId17">
            <anchor moveWithCells="1">
              <from>
                <xdr:col>33</xdr:col>
                <xdr:colOff>161925</xdr:colOff>
                <xdr:row>14</xdr:row>
                <xdr:rowOff>190500</xdr:rowOff>
              </from>
              <to>
                <xdr:col>34</xdr:col>
                <xdr:colOff>228600</xdr:colOff>
                <xdr:row>14</xdr:row>
                <xdr:rowOff>504825</xdr:rowOff>
              </to>
            </anchor>
          </controlPr>
        </control>
      </mc:Choice>
      <mc:Fallback>
        <control shapeId="4107" r:id="rId16" name="btn_direita_LT"/>
      </mc:Fallback>
    </mc:AlternateContent>
    <mc:AlternateContent xmlns:mc="http://schemas.openxmlformats.org/markup-compatibility/2006">
      <mc:Choice Requires="x14">
        <control shapeId="4108" r:id="rId18" name="m_cmdSlittersZeros_LT">
          <controlPr defaultSize="0" autoLine="0" autoPict="0" r:id="rId19">
            <anchor moveWithCells="1">
              <from>
                <xdr:col>36</xdr:col>
                <xdr:colOff>171450</xdr:colOff>
                <xdr:row>8</xdr:row>
                <xdr:rowOff>561975</xdr:rowOff>
              </from>
              <to>
                <xdr:col>38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4108" r:id="rId18" name="m_cmdSlittersZeros_LT"/>
      </mc:Fallback>
    </mc:AlternateContent>
    <mc:AlternateContent xmlns:mc="http://schemas.openxmlformats.org/markup-compatibility/2006">
      <mc:Choice Requires="x14">
        <control shapeId="4109" r:id="rId20" name="m_cmdMachineValUpdate_LT">
          <controlPr defaultSize="0" autoLine="0" r:id="rId21">
            <anchor moveWithCells="1">
              <from>
                <xdr:col>6</xdr:col>
                <xdr:colOff>95250</xdr:colOff>
                <xdr:row>21</xdr:row>
                <xdr:rowOff>190500</xdr:rowOff>
              </from>
              <to>
                <xdr:col>9</xdr:col>
                <xdr:colOff>57150</xdr:colOff>
                <xdr:row>25</xdr:row>
                <xdr:rowOff>123825</xdr:rowOff>
              </to>
            </anchor>
          </controlPr>
        </control>
      </mc:Choice>
      <mc:Fallback>
        <control shapeId="4109" r:id="rId20" name="m_cmdMachineValUpdate_L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7"/>
  <dimension ref="C3:AI41"/>
  <sheetViews>
    <sheetView showGridLines="0" topLeftCell="K4" workbookViewId="0">
      <selection activeCell="Q27" sqref="Q27"/>
    </sheetView>
  </sheetViews>
  <sheetFormatPr defaultRowHeight="12.75" customHeight="1" x14ac:dyDescent="0.25"/>
  <cols>
    <col min="1" max="1" width="5" customWidth="1"/>
    <col min="2" max="2" width="4.5703125" customWidth="1"/>
    <col min="3" max="3" width="6.28515625" customWidth="1"/>
    <col min="4" max="4" width="0.85546875" customWidth="1"/>
    <col min="5" max="5" width="6" customWidth="1"/>
    <col min="6" max="6" width="0.85546875" customWidth="1"/>
    <col min="7" max="7" width="5.42578125" customWidth="1"/>
    <col min="8" max="8" width="7.28515625" customWidth="1"/>
    <col min="9" max="9" width="1" customWidth="1"/>
    <col min="10" max="10" width="3.7109375" hidden="1" customWidth="1"/>
    <col min="11" max="14" width="3.7109375" customWidth="1"/>
    <col min="15" max="15" width="6.42578125" customWidth="1"/>
    <col min="16" max="16" width="3.7109375" customWidth="1"/>
    <col min="17" max="17" width="6.42578125" customWidth="1"/>
    <col min="18" max="18" width="3.7109375" customWidth="1"/>
    <col min="19" max="19" width="6.42578125" customWidth="1"/>
    <col min="20" max="20" width="3.7109375" customWidth="1"/>
    <col min="21" max="21" width="6.42578125" customWidth="1"/>
    <col min="22" max="22" width="3.7109375" customWidth="1"/>
    <col min="23" max="23" width="6.42578125" customWidth="1"/>
    <col min="24" max="24" width="3.7109375" customWidth="1"/>
    <col min="25" max="25" width="6.42578125" customWidth="1"/>
    <col min="26" max="26" width="3.7109375" customWidth="1"/>
    <col min="27" max="27" width="6.42578125" customWidth="1"/>
    <col min="28" max="28" width="3.7109375" customWidth="1"/>
    <col min="29" max="29" width="6.42578125" customWidth="1"/>
    <col min="30" max="30" width="3.7109375" customWidth="1"/>
    <col min="31" max="31" width="6.42578125" customWidth="1"/>
    <col min="32" max="32" width="3.5703125" customWidth="1"/>
    <col min="33" max="34" width="4.7109375" customWidth="1"/>
    <col min="35" max="35" width="6.140625" customWidth="1"/>
  </cols>
  <sheetData>
    <row r="3" spans="3:35" ht="20.25" x14ac:dyDescent="0.3">
      <c r="C3" s="1" t="s">
        <v>0</v>
      </c>
      <c r="D3" s="1"/>
      <c r="E3" s="1"/>
      <c r="F3" s="1"/>
      <c r="G3" s="1"/>
    </row>
    <row r="4" spans="3:35" ht="15" x14ac:dyDescent="0.25">
      <c r="C4" s="44" t="s">
        <v>52</v>
      </c>
      <c r="D4" s="44"/>
      <c r="E4" s="44"/>
      <c r="F4" s="44"/>
      <c r="G4" s="44"/>
      <c r="H4" s="44"/>
    </row>
    <row r="5" spans="3:35" ht="15" x14ac:dyDescent="0.25">
      <c r="K5" s="2"/>
      <c r="L5" s="2"/>
      <c r="M5" s="2"/>
    </row>
    <row r="6" spans="3:35" ht="15" x14ac:dyDescent="0.25">
      <c r="O6" s="5">
        <f>CQS!C5+(-N11*0.1)+(P11*0.1)</f>
        <v>210.4</v>
      </c>
      <c r="Q6" s="5">
        <f>CQS!C6+(-P11*0.1)+(R11*0.1)</f>
        <v>210.5</v>
      </c>
      <c r="S6" s="5">
        <f>CQS!C7 + (-R11*0.1) +(T11*0.1)</f>
        <v>210.4</v>
      </c>
      <c r="U6" s="5">
        <f>CQS!C8 + (-T11*0.1) + (V11*0.1)</f>
        <v>210.2</v>
      </c>
      <c r="W6" s="5">
        <f>CQS!C9 + (-V11*0.1) + (X11*0.1)</f>
        <v>210.2</v>
      </c>
      <c r="Y6" s="27">
        <f>CQS!C10 + (-X11*0.1) + (Z11*0.1)</f>
        <v>210.7</v>
      </c>
      <c r="AA6" s="27">
        <f>CQS!C11 + (-Z11*0.1) + (AB11*0.1)</f>
        <v>210.6</v>
      </c>
      <c r="AC6" s="27">
        <f>CQS!C12  + (AD11*0.1)</f>
        <v>210</v>
      </c>
      <c r="AE6" t="s">
        <v>10</v>
      </c>
      <c r="AF6" t="s">
        <v>9</v>
      </c>
    </row>
    <row r="7" spans="3:35" ht="15" x14ac:dyDescent="0.25">
      <c r="O7" s="43">
        <f>CQS!G5 + (-N11*0.1)</f>
        <v>9.1999999999999993</v>
      </c>
      <c r="Q7" s="43">
        <f>CQS!G6 + (-P11*0.1)</f>
        <v>9.3000000000000007</v>
      </c>
      <c r="S7" s="43">
        <f>CQS!G7 +(- R11*0.1)</f>
        <v>9.3000000000000007</v>
      </c>
      <c r="U7" s="6">
        <f>CQS!G8+(-T11*0.1)</f>
        <v>9.6</v>
      </c>
      <c r="W7" s="6">
        <f>CQS!G9 + (-V11*0.1)</f>
        <v>9.9</v>
      </c>
      <c r="Y7" s="6">
        <f>CQS!G10 + (-X11*0.1)</f>
        <v>10.1</v>
      </c>
      <c r="AA7" s="6">
        <f>CQS!G11 + (-Z11*0.1)</f>
        <v>9.9</v>
      </c>
      <c r="AC7" s="6">
        <f>CQS!G12 + (-AB11*0.1)</f>
        <v>9.9</v>
      </c>
      <c r="AE7" s="3" t="s">
        <v>10</v>
      </c>
      <c r="AF7" s="3" t="s">
        <v>11</v>
      </c>
      <c r="AG7" s="3"/>
      <c r="AH7" s="3"/>
      <c r="AI7" s="3"/>
    </row>
    <row r="8" spans="3:35" ht="6.75" customHeight="1" x14ac:dyDescent="0.25">
      <c r="O8" s="3"/>
      <c r="Q8" s="3"/>
      <c r="S8" s="3"/>
      <c r="U8" s="3"/>
      <c r="W8" s="3"/>
      <c r="Y8" s="3"/>
      <c r="AA8" s="3"/>
      <c r="AC8" s="3"/>
    </row>
    <row r="9" spans="3:35" ht="45" customHeight="1" x14ac:dyDescent="0.25">
      <c r="O9" s="4" t="s">
        <v>19</v>
      </c>
      <c r="Q9" s="4" t="s">
        <v>12</v>
      </c>
      <c r="S9" s="4" t="s">
        <v>13</v>
      </c>
      <c r="U9" s="4" t="s">
        <v>14</v>
      </c>
      <c r="W9" s="4" t="s">
        <v>15</v>
      </c>
      <c r="Y9" s="4" t="s">
        <v>16</v>
      </c>
      <c r="AA9" s="4" t="s">
        <v>17</v>
      </c>
      <c r="AC9" s="4" t="s">
        <v>18</v>
      </c>
    </row>
    <row r="10" spans="3:35" ht="6" customHeight="1" x14ac:dyDescent="0.25">
      <c r="O10" s="3"/>
      <c r="Q10" s="3"/>
    </row>
    <row r="11" spans="3:35" ht="15" x14ac:dyDescent="0.25">
      <c r="N11" s="12">
        <v>0</v>
      </c>
      <c r="P11" s="12">
        <v>0</v>
      </c>
      <c r="R11" s="12">
        <v>0</v>
      </c>
      <c r="T11" s="12">
        <v>0</v>
      </c>
      <c r="V11" s="12">
        <v>0</v>
      </c>
      <c r="X11" s="12">
        <v>0</v>
      </c>
      <c r="Z11" s="12">
        <v>0</v>
      </c>
      <c r="AB11" s="12">
        <v>0</v>
      </c>
      <c r="AD11" s="12">
        <v>0</v>
      </c>
      <c r="AF11" t="s">
        <v>10</v>
      </c>
      <c r="AG11" t="s">
        <v>23</v>
      </c>
    </row>
    <row r="12" spans="3:35" ht="3.75" customHeight="1" x14ac:dyDescent="0.25"/>
    <row r="13" spans="3:35" ht="15" x14ac:dyDescent="0.25">
      <c r="N13" s="7">
        <v>0</v>
      </c>
      <c r="P13" s="7"/>
      <c r="R13" s="7">
        <v>0</v>
      </c>
      <c r="T13" s="7">
        <v>0</v>
      </c>
      <c r="V13" s="7">
        <v>0</v>
      </c>
      <c r="X13" s="7">
        <v>0</v>
      </c>
      <c r="Z13" s="7">
        <v>0</v>
      </c>
      <c r="AB13" s="7"/>
      <c r="AD13" s="7">
        <v>0</v>
      </c>
      <c r="AF13" t="s">
        <v>10</v>
      </c>
      <c r="AG13" t="s">
        <v>22</v>
      </c>
    </row>
    <row r="14" spans="3:35" ht="3.75" customHeight="1" x14ac:dyDescent="0.25">
      <c r="AD14">
        <f>AH29+AD11</f>
        <v>0</v>
      </c>
    </row>
    <row r="15" spans="3:35" ht="41.25" x14ac:dyDescent="0.25">
      <c r="N15" s="4" t="s">
        <v>20</v>
      </c>
      <c r="P15" s="4" t="s">
        <v>2</v>
      </c>
      <c r="R15" s="4" t="s">
        <v>3</v>
      </c>
      <c r="T15" s="4" t="s">
        <v>1</v>
      </c>
      <c r="V15" s="4" t="s">
        <v>4</v>
      </c>
      <c r="X15" s="4" t="s">
        <v>5</v>
      </c>
      <c r="Z15" s="4" t="s">
        <v>6</v>
      </c>
      <c r="AB15" s="4" t="s">
        <v>7</v>
      </c>
      <c r="AD15" s="4" t="s">
        <v>8</v>
      </c>
      <c r="AF15" s="46" t="s">
        <v>21</v>
      </c>
      <c r="AG15" s="47"/>
      <c r="AH15" s="47"/>
      <c r="AI15" s="48"/>
    </row>
    <row r="16" spans="3:35" ht="16.5" customHeight="1" x14ac:dyDescent="0.25">
      <c r="K16" s="2"/>
      <c r="L16" s="2"/>
    </row>
    <row r="17" spans="3:35" ht="2.25" customHeight="1" x14ac:dyDescent="0.25">
      <c r="K17" s="2"/>
      <c r="L17" s="2"/>
    </row>
    <row r="18" spans="3:35" ht="16.5" customHeight="1" x14ac:dyDescent="0.25">
      <c r="K18" s="2"/>
      <c r="L18" s="2"/>
      <c r="N18" s="12">
        <v>0</v>
      </c>
      <c r="O18" s="13"/>
      <c r="P18" s="15">
        <v>0</v>
      </c>
      <c r="Q18" s="16"/>
      <c r="R18" s="17">
        <v>0</v>
      </c>
      <c r="S18" s="13"/>
      <c r="T18" s="15">
        <v>0</v>
      </c>
      <c r="U18" s="13"/>
      <c r="V18" s="17">
        <v>0</v>
      </c>
      <c r="W18" s="13"/>
      <c r="X18" s="17">
        <v>0</v>
      </c>
      <c r="Y18" s="13"/>
      <c r="Z18" s="17">
        <v>0</v>
      </c>
      <c r="AA18" s="13"/>
      <c r="AB18" s="12">
        <v>0</v>
      </c>
      <c r="AC18" s="13"/>
      <c r="AD18" s="17">
        <v>0</v>
      </c>
      <c r="AE18" s="13"/>
      <c r="AF18" s="9" t="s">
        <v>24</v>
      </c>
    </row>
    <row r="19" spans="3:35" ht="16.5" customHeight="1" x14ac:dyDescent="0.25">
      <c r="K19" s="2"/>
      <c r="L19" s="2"/>
      <c r="P19" s="14"/>
      <c r="R19" s="14"/>
      <c r="T19" s="14"/>
      <c r="V19" s="14"/>
      <c r="X19" s="14"/>
      <c r="Z19" s="14"/>
      <c r="AB19" s="14"/>
      <c r="AD19" s="14"/>
    </row>
    <row r="20" spans="3:35" ht="18.75" customHeight="1" x14ac:dyDescent="0.25">
      <c r="K20" s="2"/>
      <c r="L20" s="2"/>
      <c r="AF20" s="8"/>
      <c r="AG20" s="8"/>
      <c r="AH20" s="8"/>
      <c r="AI20" s="8"/>
    </row>
    <row r="21" spans="3:35" ht="18.75" customHeight="1" x14ac:dyDescent="0.3">
      <c r="I21" s="45"/>
      <c r="J21" s="45"/>
      <c r="K21" s="45"/>
      <c r="L21" s="45"/>
      <c r="V21" s="23"/>
      <c r="W21" s="23"/>
      <c r="AG21" s="10"/>
      <c r="AH21" s="11"/>
    </row>
    <row r="22" spans="3:35" ht="18.75" customHeight="1" x14ac:dyDescent="0.3">
      <c r="C22" s="20"/>
      <c r="D22" s="20"/>
      <c r="E22" s="20"/>
      <c r="F22" s="21"/>
      <c r="G22" s="20"/>
      <c r="H22" s="20"/>
      <c r="AG22" s="10"/>
      <c r="AH22" s="11"/>
    </row>
    <row r="23" spans="3:35" ht="18.75" customHeight="1" x14ac:dyDescent="0.3">
      <c r="E23" s="3"/>
      <c r="F23" s="3"/>
      <c r="G23" s="3"/>
      <c r="H23" s="3"/>
      <c r="O23" s="40" t="s">
        <v>25</v>
      </c>
      <c r="P23" s="40"/>
      <c r="Q23" s="40" t="s">
        <v>31</v>
      </c>
      <c r="R23" s="40"/>
      <c r="S23" s="40" t="s">
        <v>35</v>
      </c>
      <c r="T23" s="40"/>
      <c r="U23" s="40" t="s">
        <v>39</v>
      </c>
      <c r="Y23" s="40" t="s">
        <v>26</v>
      </c>
      <c r="Z23" s="40"/>
      <c r="AA23" s="40" t="s">
        <v>32</v>
      </c>
      <c r="AB23" s="40"/>
      <c r="AC23" s="40" t="s">
        <v>36</v>
      </c>
      <c r="AD23" s="40"/>
      <c r="AE23" s="40" t="s">
        <v>40</v>
      </c>
      <c r="AG23" s="10"/>
      <c r="AH23" s="11"/>
    </row>
    <row r="24" spans="3:35" ht="16.5" customHeight="1" x14ac:dyDescent="0.3">
      <c r="E24" s="3"/>
      <c r="F24" s="3"/>
      <c r="G24" s="3"/>
      <c r="H24" s="3"/>
      <c r="N24" s="41" t="s">
        <v>43</v>
      </c>
      <c r="O24" s="30">
        <f>CQS!G5</f>
        <v>9.1999999999999993</v>
      </c>
      <c r="P24" s="25"/>
      <c r="Q24" s="30">
        <f>CQS!K5</f>
        <v>9.1999999999999993</v>
      </c>
      <c r="R24" s="25"/>
      <c r="S24" s="30">
        <f>CQS!O5</f>
        <v>9.1999999999999993</v>
      </c>
      <c r="T24" s="24"/>
      <c r="U24" s="30">
        <f>CQS!S5</f>
        <v>9.1</v>
      </c>
      <c r="X24" s="41" t="s">
        <v>43</v>
      </c>
      <c r="Y24" s="31">
        <f>CQS!H5</f>
        <v>28.9</v>
      </c>
      <c r="Z24" s="25"/>
      <c r="AA24" s="31">
        <f>CQS!L5</f>
        <v>109</v>
      </c>
      <c r="AB24" s="25"/>
      <c r="AC24" s="31">
        <f>CQS!P5</f>
        <v>189.1</v>
      </c>
      <c r="AD24" s="25"/>
      <c r="AE24" s="31">
        <f>CQS!T5</f>
        <v>269</v>
      </c>
      <c r="AG24" s="10"/>
      <c r="AH24" s="11"/>
    </row>
    <row r="25" spans="3:35" ht="16.5" customHeight="1" x14ac:dyDescent="0.3">
      <c r="E25" s="3"/>
      <c r="F25" s="3"/>
      <c r="G25" s="3"/>
      <c r="H25" s="3"/>
      <c r="N25" s="41" t="s">
        <v>44</v>
      </c>
      <c r="O25" s="29">
        <f>CQS!G6</f>
        <v>9.3000000000000007</v>
      </c>
      <c r="P25" s="26"/>
      <c r="Q25" s="29">
        <f>CQS!K6</f>
        <v>9.3000000000000007</v>
      </c>
      <c r="R25" s="26"/>
      <c r="S25" s="29">
        <f>CQS!O6</f>
        <v>9.3000000000000007</v>
      </c>
      <c r="T25" s="26"/>
      <c r="U25" s="29">
        <f>CQS!S6</f>
        <v>9.3000000000000007</v>
      </c>
      <c r="X25" s="41" t="s">
        <v>44</v>
      </c>
      <c r="Y25" s="32">
        <f>CQS!H6</f>
        <v>28.8</v>
      </c>
      <c r="Z25" s="26"/>
      <c r="AA25" s="32">
        <f>CQS!L6</f>
        <v>108.9</v>
      </c>
      <c r="AB25" s="26"/>
      <c r="AC25" s="32">
        <f>CQS!P6</f>
        <v>189</v>
      </c>
      <c r="AD25" s="26"/>
      <c r="AE25" s="32">
        <f>CQS!T6</f>
        <v>269</v>
      </c>
      <c r="AG25" s="10"/>
      <c r="AH25" s="11"/>
    </row>
    <row r="26" spans="3:35" ht="16.5" customHeight="1" x14ac:dyDescent="0.3">
      <c r="E26" s="3"/>
      <c r="F26" s="3"/>
      <c r="G26" s="3"/>
      <c r="H26" s="3"/>
      <c r="N26" s="41" t="s">
        <v>45</v>
      </c>
      <c r="O26" s="28">
        <f>CQS!G7</f>
        <v>9.3000000000000007</v>
      </c>
      <c r="P26" s="25"/>
      <c r="Q26" s="28">
        <f>CQS!K7</f>
        <v>9.3000000000000007</v>
      </c>
      <c r="R26" s="25"/>
      <c r="S26" s="28">
        <f>CQS!O7</f>
        <v>9.4</v>
      </c>
      <c r="T26" s="25"/>
      <c r="U26" s="28">
        <f>CQS!S7</f>
        <v>9.4</v>
      </c>
      <c r="X26" s="41" t="s">
        <v>45</v>
      </c>
      <c r="Y26" s="31">
        <f>CQS!H7</f>
        <v>28.8</v>
      </c>
      <c r="Z26" s="25"/>
      <c r="AA26" s="31">
        <f>CQS!L7</f>
        <v>108.9</v>
      </c>
      <c r="AB26" s="25"/>
      <c r="AC26" s="31">
        <f>CQS!P7</f>
        <v>188.9</v>
      </c>
      <c r="AD26" s="25"/>
      <c r="AE26" s="31">
        <f>CQS!T7</f>
        <v>268.89999999999998</v>
      </c>
      <c r="AG26" s="10"/>
      <c r="AH26" s="11"/>
    </row>
    <row r="27" spans="3:35" ht="16.5" customHeight="1" x14ac:dyDescent="0.3">
      <c r="E27" s="3"/>
      <c r="F27" s="3"/>
      <c r="G27" s="3"/>
      <c r="H27" s="3"/>
      <c r="N27" s="41" t="s">
        <v>46</v>
      </c>
      <c r="O27" s="32">
        <f>CQS!G8</f>
        <v>9.6</v>
      </c>
      <c r="P27" s="26"/>
      <c r="Q27" s="32">
        <f>CQS!K8</f>
        <v>9.6</v>
      </c>
      <c r="R27" s="26"/>
      <c r="S27" s="32">
        <f>CQS!O8</f>
        <v>9.6</v>
      </c>
      <c r="T27" s="26"/>
      <c r="U27" s="32">
        <f>CQS!S8</f>
        <v>9.6</v>
      </c>
      <c r="X27" s="41" t="s">
        <v>46</v>
      </c>
      <c r="Y27" s="32">
        <f>CQS!H8</f>
        <v>28.7</v>
      </c>
      <c r="Z27" s="26"/>
      <c r="AA27" s="32">
        <f>CQS!L8</f>
        <v>108.8</v>
      </c>
      <c r="AB27" s="26"/>
      <c r="AC27" s="32">
        <f>CQS!P8</f>
        <v>188.9</v>
      </c>
      <c r="AD27" s="26"/>
      <c r="AE27" s="32">
        <f>CQS!T8</f>
        <v>268.89999999999998</v>
      </c>
      <c r="AG27" s="10"/>
      <c r="AH27" s="11"/>
    </row>
    <row r="28" spans="3:35" ht="16.5" customHeight="1" x14ac:dyDescent="0.3">
      <c r="E28" s="3"/>
      <c r="F28" s="3"/>
      <c r="G28" s="3"/>
      <c r="H28" s="3"/>
      <c r="N28" s="41" t="s">
        <v>47</v>
      </c>
      <c r="O28" s="31">
        <f>CQS!G9</f>
        <v>9.9</v>
      </c>
      <c r="P28" s="25"/>
      <c r="Q28" s="31">
        <f>CQS!K9</f>
        <v>9.8000000000000007</v>
      </c>
      <c r="R28" s="25"/>
      <c r="S28" s="31">
        <f>CQS!O9</f>
        <v>9.9</v>
      </c>
      <c r="T28" s="25"/>
      <c r="U28" s="31">
        <f>CQS!S9</f>
        <v>9.9</v>
      </c>
      <c r="X28" s="41" t="s">
        <v>47</v>
      </c>
      <c r="Y28" s="31">
        <f>CQS!H9</f>
        <v>28.8</v>
      </c>
      <c r="Z28" s="25"/>
      <c r="AA28" s="31">
        <f>CQS!L9</f>
        <v>108.7</v>
      </c>
      <c r="AB28" s="25"/>
      <c r="AC28" s="31">
        <f>CQS!P9</f>
        <v>188.8</v>
      </c>
      <c r="AD28" s="25"/>
      <c r="AE28" s="31">
        <f>CQS!T9</f>
        <v>268.89999999999998</v>
      </c>
      <c r="AG28" s="10"/>
      <c r="AH28" s="11"/>
    </row>
    <row r="29" spans="3:35" ht="16.5" customHeight="1" x14ac:dyDescent="0.3">
      <c r="E29" s="3"/>
      <c r="F29" s="3"/>
      <c r="G29" s="3"/>
      <c r="H29" s="3"/>
      <c r="N29" s="41" t="s">
        <v>48</v>
      </c>
      <c r="O29" s="32">
        <f>CQS!G10</f>
        <v>10.1</v>
      </c>
      <c r="P29" s="26"/>
      <c r="Q29" s="32">
        <f>CQS!K10</f>
        <v>10.1</v>
      </c>
      <c r="R29" s="26"/>
      <c r="S29" s="32">
        <f>CQS!O10</f>
        <v>10.1</v>
      </c>
      <c r="T29" s="26"/>
      <c r="U29" s="32">
        <f>CQS!S10</f>
        <v>10.1</v>
      </c>
      <c r="X29" s="41" t="s">
        <v>48</v>
      </c>
      <c r="Y29" s="32">
        <f>CQS!H10</f>
        <v>28.8</v>
      </c>
      <c r="Z29" s="26"/>
      <c r="AA29" s="32">
        <f>CQS!L10</f>
        <v>108.8</v>
      </c>
      <c r="AB29" s="26"/>
      <c r="AC29" s="32">
        <f>CQS!P10</f>
        <v>188.9</v>
      </c>
      <c r="AD29" s="26"/>
      <c r="AE29" s="32">
        <f>CQS!T10</f>
        <v>268.89999999999998</v>
      </c>
      <c r="AG29" s="10"/>
      <c r="AH29" s="11"/>
    </row>
    <row r="30" spans="3:35" ht="16.5" customHeight="1" x14ac:dyDescent="0.25">
      <c r="E30" s="3"/>
      <c r="F30" s="3"/>
      <c r="G30" s="3"/>
      <c r="H30" s="3"/>
      <c r="N30" s="41" t="s">
        <v>49</v>
      </c>
      <c r="O30" s="31">
        <f>CQS!G11</f>
        <v>9.9</v>
      </c>
      <c r="P30" s="25"/>
      <c r="Q30" s="31">
        <f>CQS!K11</f>
        <v>9.9</v>
      </c>
      <c r="R30" s="25"/>
      <c r="S30" s="31">
        <f>CQS!O11</f>
        <v>9.9</v>
      </c>
      <c r="T30" s="25"/>
      <c r="U30" s="31">
        <f>CQS!S11</f>
        <v>10</v>
      </c>
      <c r="X30" s="41" t="s">
        <v>49</v>
      </c>
      <c r="Y30" s="31">
        <f>CQS!H11</f>
        <v>28.8</v>
      </c>
      <c r="Z30" s="25"/>
      <c r="AA30" s="31">
        <f>CQS!L11</f>
        <v>108.8</v>
      </c>
      <c r="AB30" s="25"/>
      <c r="AC30" s="31">
        <f>CQS!P11</f>
        <v>189</v>
      </c>
      <c r="AD30" s="25"/>
      <c r="AE30" s="31">
        <f>CQS!T11</f>
        <v>269</v>
      </c>
    </row>
    <row r="31" spans="3:35" ht="16.5" customHeight="1" x14ac:dyDescent="0.25">
      <c r="N31" s="41" t="s">
        <v>50</v>
      </c>
      <c r="O31" s="32">
        <f>CQS!G12</f>
        <v>9.9</v>
      </c>
      <c r="P31" s="26"/>
      <c r="Q31" s="32">
        <f>CQS!K12</f>
        <v>9.9</v>
      </c>
      <c r="R31" s="26"/>
      <c r="S31" s="32">
        <f>CQS!O12</f>
        <v>9.9</v>
      </c>
      <c r="T31" s="26"/>
      <c r="U31" s="32">
        <f>CQS!S12</f>
        <v>10</v>
      </c>
      <c r="X31" s="41" t="s">
        <v>50</v>
      </c>
      <c r="Y31" s="29">
        <f>CQS!H12</f>
        <v>28.8</v>
      </c>
      <c r="Z31" s="26"/>
      <c r="AA31" s="29">
        <f>CQS!L12</f>
        <v>108.9</v>
      </c>
      <c r="AB31" s="26"/>
      <c r="AC31" s="29">
        <f>CQS!P12</f>
        <v>189</v>
      </c>
      <c r="AD31" s="26"/>
      <c r="AE31" s="29">
        <f>CQS!T12</f>
        <v>269</v>
      </c>
    </row>
    <row r="34" spans="4:7" ht="15" x14ac:dyDescent="0.25">
      <c r="D34" s="3"/>
      <c r="E34" s="3"/>
      <c r="F34" s="3"/>
      <c r="G34" s="3"/>
    </row>
    <row r="35" spans="4:7" ht="15" x14ac:dyDescent="0.25">
      <c r="D35" s="3"/>
      <c r="E35" s="3"/>
      <c r="F35" s="3"/>
      <c r="G35" s="3"/>
    </row>
    <row r="36" spans="4:7" ht="15" x14ac:dyDescent="0.25">
      <c r="D36" s="3"/>
      <c r="E36" s="3"/>
      <c r="F36" s="3"/>
      <c r="G36" s="3"/>
    </row>
    <row r="37" spans="4:7" ht="15" x14ac:dyDescent="0.25">
      <c r="D37" s="3"/>
      <c r="E37" s="3"/>
      <c r="F37" s="3"/>
      <c r="G37" s="3"/>
    </row>
    <row r="38" spans="4:7" ht="15" x14ac:dyDescent="0.25">
      <c r="D38" s="3"/>
      <c r="E38" s="3"/>
      <c r="F38" s="3"/>
      <c r="G38" s="3"/>
    </row>
    <row r="39" spans="4:7" ht="15" x14ac:dyDescent="0.25">
      <c r="D39" s="3"/>
      <c r="E39" s="3"/>
      <c r="F39" s="3"/>
      <c r="G39" s="3"/>
    </row>
    <row r="40" spans="4:7" ht="15" x14ac:dyDescent="0.25">
      <c r="D40" s="3"/>
      <c r="E40" s="3"/>
      <c r="F40" s="3"/>
      <c r="G40" s="3"/>
    </row>
    <row r="41" spans="4:7" ht="15" x14ac:dyDescent="0.25">
      <c r="D41" s="3"/>
      <c r="E41" s="3"/>
      <c r="F41" s="3"/>
      <c r="G41" s="3"/>
    </row>
  </sheetData>
  <mergeCells count="3">
    <mergeCell ref="C4:H4"/>
    <mergeCell ref="AF15:AI15"/>
    <mergeCell ref="I21:L21"/>
  </mergeCells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btn_esquerda_SW">
          <controlPr defaultSize="0" autoLine="0" r:id="rId5">
            <anchor moveWithCells="1">
              <from>
                <xdr:col>31</xdr:col>
                <xdr:colOff>161925</xdr:colOff>
                <xdr:row>14</xdr:row>
                <xdr:rowOff>190500</xdr:rowOff>
              </from>
              <to>
                <xdr:col>32</xdr:col>
                <xdr:colOff>304800</xdr:colOff>
                <xdr:row>14</xdr:row>
                <xdr:rowOff>504825</xdr:rowOff>
              </to>
            </anchor>
          </controlPr>
        </control>
      </mc:Choice>
      <mc:Fallback>
        <control shapeId="5121" r:id="rId4" name="btn_esquerda_SW"/>
      </mc:Fallback>
    </mc:AlternateContent>
    <mc:AlternateContent xmlns:mc="http://schemas.openxmlformats.org/markup-compatibility/2006">
      <mc:Choice Requires="x14">
        <control shapeId="5122" r:id="rId6" name="opt_slitter1">
          <controlPr autoLine="0" r:id="rId7">
            <anchor moveWithCells="1">
              <from>
                <xdr:col>13</xdr:col>
                <xdr:colOff>0</xdr:colOff>
                <xdr:row>15</xdr:row>
                <xdr:rowOff>9525</xdr:rowOff>
              </from>
              <to>
                <xdr:col>14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5122" r:id="rId6" name="opt_slitter1"/>
      </mc:Fallback>
    </mc:AlternateContent>
    <mc:AlternateContent xmlns:mc="http://schemas.openxmlformats.org/markup-compatibility/2006">
      <mc:Choice Requires="x14">
        <control shapeId="5123" r:id="rId8" name="opt_slitter2">
          <controlPr defaultSize="0" autoLine="0" r:id="rId7">
            <anchor moveWithCells="1">
              <from>
                <xdr:col>15</xdr:col>
                <xdr:colOff>0</xdr:colOff>
                <xdr:row>15</xdr:row>
                <xdr:rowOff>9525</xdr:rowOff>
              </from>
              <to>
                <xdr:col>16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5123" r:id="rId8" name="opt_slitter2"/>
      </mc:Fallback>
    </mc:AlternateContent>
    <mc:AlternateContent xmlns:mc="http://schemas.openxmlformats.org/markup-compatibility/2006">
      <mc:Choice Requires="x14">
        <control shapeId="5124" r:id="rId9" name="opt_slitter3">
          <controlPr defaultSize="0" autoLine="0" r:id="rId7">
            <anchor moveWithCells="1">
              <from>
                <xdr:col>17</xdr:col>
                <xdr:colOff>0</xdr:colOff>
                <xdr:row>15</xdr:row>
                <xdr:rowOff>9525</xdr:rowOff>
              </from>
              <to>
                <xdr:col>18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5124" r:id="rId9" name="opt_slitter3"/>
      </mc:Fallback>
    </mc:AlternateContent>
    <mc:AlternateContent xmlns:mc="http://schemas.openxmlformats.org/markup-compatibility/2006">
      <mc:Choice Requires="x14">
        <control shapeId="5125" r:id="rId10" name="opt_slitter4">
          <controlPr defaultSize="0" autoLine="0" r:id="rId7">
            <anchor moveWithCells="1">
              <from>
                <xdr:col>19</xdr:col>
                <xdr:colOff>0</xdr:colOff>
                <xdr:row>15</xdr:row>
                <xdr:rowOff>9525</xdr:rowOff>
              </from>
              <to>
                <xdr:col>20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5125" r:id="rId10" name="opt_slitter4"/>
      </mc:Fallback>
    </mc:AlternateContent>
    <mc:AlternateContent xmlns:mc="http://schemas.openxmlformats.org/markup-compatibility/2006">
      <mc:Choice Requires="x14">
        <control shapeId="5126" r:id="rId11" name="opt_slitter5">
          <controlPr defaultSize="0" autoLine="0" r:id="rId7">
            <anchor moveWithCells="1">
              <from>
                <xdr:col>21</xdr:col>
                <xdr:colOff>0</xdr:colOff>
                <xdr:row>15</xdr:row>
                <xdr:rowOff>9525</xdr:rowOff>
              </from>
              <to>
                <xdr:col>22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5126" r:id="rId11" name="opt_slitter5"/>
      </mc:Fallback>
    </mc:AlternateContent>
    <mc:AlternateContent xmlns:mc="http://schemas.openxmlformats.org/markup-compatibility/2006">
      <mc:Choice Requires="x14">
        <control shapeId="5127" r:id="rId12" name="opt_slitter6">
          <controlPr defaultSize="0" autoLine="0" r:id="rId7">
            <anchor moveWithCells="1">
              <from>
                <xdr:col>22</xdr:col>
                <xdr:colOff>419100</xdr:colOff>
                <xdr:row>15</xdr:row>
                <xdr:rowOff>9525</xdr:rowOff>
              </from>
              <to>
                <xdr:col>24</xdr:col>
                <xdr:colOff>9525</xdr:colOff>
                <xdr:row>16</xdr:row>
                <xdr:rowOff>19050</xdr:rowOff>
              </to>
            </anchor>
          </controlPr>
        </control>
      </mc:Choice>
      <mc:Fallback>
        <control shapeId="5127" r:id="rId12" name="opt_slitter6"/>
      </mc:Fallback>
    </mc:AlternateContent>
    <mc:AlternateContent xmlns:mc="http://schemas.openxmlformats.org/markup-compatibility/2006">
      <mc:Choice Requires="x14">
        <control shapeId="5128" r:id="rId13" name="opt_slitter7">
          <controlPr defaultSize="0" autoLine="0" r:id="rId7">
            <anchor moveWithCells="1">
              <from>
                <xdr:col>25</xdr:col>
                <xdr:colOff>9525</xdr:colOff>
                <xdr:row>15</xdr:row>
                <xdr:rowOff>9525</xdr:rowOff>
              </from>
              <to>
                <xdr:col>26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5128" r:id="rId13" name="opt_slitter7"/>
      </mc:Fallback>
    </mc:AlternateContent>
    <mc:AlternateContent xmlns:mc="http://schemas.openxmlformats.org/markup-compatibility/2006">
      <mc:Choice Requires="x14">
        <control shapeId="5129" r:id="rId14" name="opt_slitter8">
          <controlPr defaultSize="0" autoLine="0" r:id="rId7">
            <anchor moveWithCells="1">
              <from>
                <xdr:col>27</xdr:col>
                <xdr:colOff>9525</xdr:colOff>
                <xdr:row>15</xdr:row>
                <xdr:rowOff>9525</xdr:rowOff>
              </from>
              <to>
                <xdr:col>28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5129" r:id="rId14" name="opt_slitter8"/>
      </mc:Fallback>
    </mc:AlternateContent>
    <mc:AlternateContent xmlns:mc="http://schemas.openxmlformats.org/markup-compatibility/2006">
      <mc:Choice Requires="x14">
        <control shapeId="5130" r:id="rId15" name="opt_slitter9">
          <controlPr defaultSize="0" autoLine="0" r:id="rId7">
            <anchor moveWithCells="1">
              <from>
                <xdr:col>29</xdr:col>
                <xdr:colOff>0</xdr:colOff>
                <xdr:row>15</xdr:row>
                <xdr:rowOff>9525</xdr:rowOff>
              </from>
              <to>
                <xdr:col>30</xdr:col>
                <xdr:colOff>19050</xdr:colOff>
                <xdr:row>16</xdr:row>
                <xdr:rowOff>19050</xdr:rowOff>
              </to>
            </anchor>
          </controlPr>
        </control>
      </mc:Choice>
      <mc:Fallback>
        <control shapeId="5130" r:id="rId15" name="opt_slitter9"/>
      </mc:Fallback>
    </mc:AlternateContent>
    <mc:AlternateContent xmlns:mc="http://schemas.openxmlformats.org/markup-compatibility/2006">
      <mc:Choice Requires="x14">
        <control shapeId="5131" r:id="rId16" name="btn_direita_SW">
          <controlPr defaultSize="0" autoLine="0" r:id="rId17">
            <anchor moveWithCells="1">
              <from>
                <xdr:col>33</xdr:col>
                <xdr:colOff>161925</xdr:colOff>
                <xdr:row>14</xdr:row>
                <xdr:rowOff>190500</xdr:rowOff>
              </from>
              <to>
                <xdr:col>34</xdr:col>
                <xdr:colOff>228600</xdr:colOff>
                <xdr:row>14</xdr:row>
                <xdr:rowOff>504825</xdr:rowOff>
              </to>
            </anchor>
          </controlPr>
        </control>
      </mc:Choice>
      <mc:Fallback>
        <control shapeId="5131" r:id="rId16" name="btn_direita_SW"/>
      </mc:Fallback>
    </mc:AlternateContent>
    <mc:AlternateContent xmlns:mc="http://schemas.openxmlformats.org/markup-compatibility/2006">
      <mc:Choice Requires="x14">
        <control shapeId="5132" r:id="rId18" name="m_cmdSlittersZeros_SW">
          <controlPr defaultSize="0" autoLine="0" autoPict="0" r:id="rId19">
            <anchor moveWithCells="1">
              <from>
                <xdr:col>36</xdr:col>
                <xdr:colOff>171450</xdr:colOff>
                <xdr:row>8</xdr:row>
                <xdr:rowOff>561975</xdr:rowOff>
              </from>
              <to>
                <xdr:col>38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5132" r:id="rId18" name="m_cmdSlittersZeros_SW"/>
      </mc:Fallback>
    </mc:AlternateContent>
    <mc:AlternateContent xmlns:mc="http://schemas.openxmlformats.org/markup-compatibility/2006">
      <mc:Choice Requires="x14">
        <control shapeId="5133" r:id="rId20" name="m_cmdMachineValUpdate_SW">
          <controlPr defaultSize="0" autoLine="0" r:id="rId21">
            <anchor moveWithCells="1">
              <from>
                <xdr:col>6</xdr:col>
                <xdr:colOff>95250</xdr:colOff>
                <xdr:row>21</xdr:row>
                <xdr:rowOff>180975</xdr:rowOff>
              </from>
              <to>
                <xdr:col>10</xdr:col>
                <xdr:colOff>238125</xdr:colOff>
                <xdr:row>25</xdr:row>
                <xdr:rowOff>114300</xdr:rowOff>
              </to>
            </anchor>
          </controlPr>
        </control>
      </mc:Choice>
      <mc:Fallback>
        <control shapeId="5133" r:id="rId20" name="m_cmdMachineValUpdate_SW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"/>
  <dimension ref="A2:T23"/>
  <sheetViews>
    <sheetView workbookViewId="0">
      <selection activeCell="Q21" sqref="Q21"/>
    </sheetView>
  </sheetViews>
  <sheetFormatPr defaultRowHeight="12.75" customHeight="1" x14ac:dyDescent="0.25"/>
  <cols>
    <col min="1" max="1" width="5" customWidth="1"/>
    <col min="4" max="4" width="3.5703125" customWidth="1"/>
    <col min="5" max="6" width="6.5703125" customWidth="1"/>
    <col min="7" max="7" width="8.5703125" bestFit="1" customWidth="1"/>
    <col min="8" max="11" width="6.5703125" customWidth="1"/>
    <col min="12" max="12" width="7" bestFit="1" customWidth="1"/>
    <col min="13" max="20" width="6.5703125" customWidth="1"/>
    <col min="21" max="21" width="4.85546875" customWidth="1"/>
  </cols>
  <sheetData>
    <row r="2" spans="1:20" ht="12.75" customHeight="1" x14ac:dyDescent="0.25">
      <c r="B2" s="22" t="s">
        <v>53</v>
      </c>
      <c r="E2" s="22" t="s">
        <v>54</v>
      </c>
      <c r="G2" s="22" t="s">
        <v>55</v>
      </c>
    </row>
    <row r="3" spans="1:20" ht="6.75" customHeight="1" x14ac:dyDescent="0.25"/>
    <row r="4" spans="1:20" ht="12.75" customHeight="1" x14ac:dyDescent="0.25">
      <c r="B4" s="19" t="s">
        <v>41</v>
      </c>
      <c r="C4" s="19" t="s">
        <v>42</v>
      </c>
      <c r="D4" s="19"/>
      <c r="E4" s="19" t="s">
        <v>27</v>
      </c>
      <c r="F4" s="19" t="s">
        <v>28</v>
      </c>
      <c r="G4" s="19" t="s">
        <v>25</v>
      </c>
      <c r="H4" s="19" t="s">
        <v>26</v>
      </c>
      <c r="I4" s="19" t="s">
        <v>29</v>
      </c>
      <c r="J4" s="19" t="s">
        <v>30</v>
      </c>
      <c r="K4" s="19" t="s">
        <v>31</v>
      </c>
      <c r="L4" s="19" t="s">
        <v>32</v>
      </c>
      <c r="M4" s="19" t="s">
        <v>33</v>
      </c>
      <c r="N4" s="19" t="s">
        <v>34</v>
      </c>
      <c r="O4" s="19" t="s">
        <v>35</v>
      </c>
      <c r="P4" s="19" t="s">
        <v>36</v>
      </c>
      <c r="Q4" s="19" t="s">
        <v>37</v>
      </c>
      <c r="R4" s="19" t="s">
        <v>38</v>
      </c>
      <c r="S4" s="19" t="s">
        <v>39</v>
      </c>
      <c r="T4" s="19" t="s">
        <v>40</v>
      </c>
    </row>
    <row r="5" spans="1:20" ht="12.75" customHeight="1" x14ac:dyDescent="0.25">
      <c r="A5" s="19" t="s">
        <v>43</v>
      </c>
      <c r="B5">
        <f>[1]DAT!U1</f>
        <v>297.39999999999998</v>
      </c>
      <c r="C5" s="52">
        <f>[1]DAT!V1</f>
        <v>210.4</v>
      </c>
      <c r="E5" s="18">
        <f>[2]DAT!V1</f>
        <v>6</v>
      </c>
      <c r="F5" s="18">
        <f>[2]DAT!W1</f>
        <v>6.9</v>
      </c>
      <c r="G5" s="53">
        <f>[2]DAT!X1</f>
        <v>9.1999999999999993</v>
      </c>
      <c r="H5" s="18">
        <f>[2]DAT!Y1</f>
        <v>28.9</v>
      </c>
      <c r="I5" s="18">
        <f>[2]DAT!Z1</f>
        <v>4</v>
      </c>
      <c r="J5" s="18">
        <f>[2]DAT!AA1</f>
        <v>6.9</v>
      </c>
      <c r="K5" s="18">
        <f>[2]DAT!AB1</f>
        <v>9.1999999999999993</v>
      </c>
      <c r="L5" s="18">
        <f>[2]DAT!AC1</f>
        <v>109</v>
      </c>
      <c r="M5" s="18">
        <f>[2]DAT!AD1</f>
        <v>5</v>
      </c>
      <c r="N5" s="18">
        <f>[2]DAT!AE1</f>
        <v>6.9</v>
      </c>
      <c r="O5" s="18">
        <f>[2]DAT!AF1</f>
        <v>9.1999999999999993</v>
      </c>
      <c r="P5" s="18">
        <f>[2]DAT!AG1</f>
        <v>189.1</v>
      </c>
      <c r="Q5" s="18">
        <f>[2]DAT!AH1</f>
        <v>4</v>
      </c>
      <c r="R5" s="18">
        <f>[2]DAT!AI1</f>
        <v>6.9</v>
      </c>
      <c r="S5" s="18">
        <f>[2]DAT!AJ1</f>
        <v>9.1</v>
      </c>
      <c r="T5" s="18">
        <f>[2]DAT!AK1</f>
        <v>269</v>
      </c>
    </row>
    <row r="6" spans="1:20" ht="12.75" customHeight="1" x14ac:dyDescent="0.25">
      <c r="A6" s="19" t="s">
        <v>44</v>
      </c>
      <c r="B6">
        <f>[1]DAT!U2</f>
        <v>297.39999999999998</v>
      </c>
      <c r="C6" s="52">
        <f>[1]DAT!V2</f>
        <v>210.5</v>
      </c>
      <c r="E6" s="18">
        <f>[2]DAT!V2</f>
        <v>8</v>
      </c>
      <c r="F6" s="18">
        <f>[2]DAT!W2</f>
        <v>7</v>
      </c>
      <c r="G6" s="53">
        <f>[2]DAT!X2</f>
        <v>9.3000000000000007</v>
      </c>
      <c r="H6" s="18">
        <f>[2]DAT!Y2</f>
        <v>28.8</v>
      </c>
      <c r="I6" s="18">
        <f>[2]DAT!Z2</f>
        <v>6</v>
      </c>
      <c r="J6" s="18">
        <f>[2]DAT!AA2</f>
        <v>6.9</v>
      </c>
      <c r="K6" s="18">
        <f>[2]DAT!AB2</f>
        <v>9.3000000000000007</v>
      </c>
      <c r="L6" s="18">
        <f>[2]DAT!AC2</f>
        <v>108.9</v>
      </c>
      <c r="M6" s="18">
        <f>[2]DAT!AD2</f>
        <v>8</v>
      </c>
      <c r="N6" s="18">
        <f>[2]DAT!AE2</f>
        <v>7</v>
      </c>
      <c r="O6" s="18">
        <f>[2]DAT!AF2</f>
        <v>9.3000000000000007</v>
      </c>
      <c r="P6" s="18">
        <f>[2]DAT!AG2</f>
        <v>189</v>
      </c>
      <c r="Q6" s="18">
        <f>[2]DAT!AH2</f>
        <v>4.5</v>
      </c>
      <c r="R6" s="18">
        <f>[2]DAT!AI2</f>
        <v>6.9</v>
      </c>
      <c r="S6" s="18">
        <f>[2]DAT!AJ2</f>
        <v>9.3000000000000007</v>
      </c>
      <c r="T6" s="18">
        <f>[2]DAT!AK2</f>
        <v>269</v>
      </c>
    </row>
    <row r="7" spans="1:20" ht="12.75" customHeight="1" x14ac:dyDescent="0.25">
      <c r="A7" s="19" t="s">
        <v>45</v>
      </c>
      <c r="B7">
        <f>[1]DAT!U3</f>
        <v>297.39999999999998</v>
      </c>
      <c r="C7" s="52">
        <f>[1]DAT!V3</f>
        <v>210.4</v>
      </c>
      <c r="E7" s="18">
        <f>[2]DAT!V3</f>
        <v>4</v>
      </c>
      <c r="F7" s="18">
        <f>[2]DAT!W3</f>
        <v>6.9</v>
      </c>
      <c r="G7" s="53">
        <f>[2]DAT!X3</f>
        <v>9.3000000000000007</v>
      </c>
      <c r="H7" s="18">
        <f>[2]DAT!Y3</f>
        <v>28.8</v>
      </c>
      <c r="I7" s="18">
        <f>[2]DAT!Z3</f>
        <v>3.5</v>
      </c>
      <c r="J7" s="18">
        <f>[2]DAT!AA3</f>
        <v>7</v>
      </c>
      <c r="K7" s="18">
        <f>[2]DAT!AB3</f>
        <v>9.3000000000000007</v>
      </c>
      <c r="L7" s="18">
        <f>[2]DAT!AC3</f>
        <v>108.9</v>
      </c>
      <c r="M7" s="18">
        <f>[2]DAT!AD3</f>
        <v>4</v>
      </c>
      <c r="N7" s="18">
        <f>[2]DAT!AE3</f>
        <v>6.9</v>
      </c>
      <c r="O7" s="18">
        <f>[2]DAT!AF3</f>
        <v>9.4</v>
      </c>
      <c r="P7" s="18">
        <f>[2]DAT!AG3</f>
        <v>188.9</v>
      </c>
      <c r="Q7" s="18">
        <f>[2]DAT!AH3</f>
        <v>4</v>
      </c>
      <c r="R7" s="18">
        <f>[2]DAT!AI3</f>
        <v>6.9</v>
      </c>
      <c r="S7" s="18">
        <f>[2]DAT!AJ3</f>
        <v>9.4</v>
      </c>
      <c r="T7" s="18">
        <f>[2]DAT!AK3</f>
        <v>268.89999999999998</v>
      </c>
    </row>
    <row r="8" spans="1:20" ht="12.75" customHeight="1" x14ac:dyDescent="0.25">
      <c r="A8" s="19" t="s">
        <v>46</v>
      </c>
      <c r="B8">
        <f>[1]DAT!U4</f>
        <v>297.39999999999998</v>
      </c>
      <c r="C8" s="52">
        <f>[1]DAT!V4</f>
        <v>210.2</v>
      </c>
      <c r="E8" s="18">
        <f>[2]DAT!V4</f>
        <v>8</v>
      </c>
      <c r="F8" s="18">
        <f>[2]DAT!W4</f>
        <v>6.9</v>
      </c>
      <c r="G8" s="53">
        <f>[2]DAT!X4</f>
        <v>9.6</v>
      </c>
      <c r="H8" s="18">
        <f>[2]DAT!Y4</f>
        <v>28.7</v>
      </c>
      <c r="I8" s="18">
        <f>[2]DAT!Z4</f>
        <v>6.5</v>
      </c>
      <c r="J8" s="18">
        <f>[2]DAT!AA4</f>
        <v>6.9</v>
      </c>
      <c r="K8" s="18">
        <f>[2]DAT!AB4</f>
        <v>9.6</v>
      </c>
      <c r="L8" s="18">
        <f>[2]DAT!AC4</f>
        <v>108.8</v>
      </c>
      <c r="M8" s="18">
        <f>[2]DAT!AD4</f>
        <v>4.5</v>
      </c>
      <c r="N8" s="18">
        <f>[2]DAT!AE4</f>
        <v>6.9</v>
      </c>
      <c r="O8" s="18">
        <f>[2]DAT!AF4</f>
        <v>9.6</v>
      </c>
      <c r="P8" s="18">
        <f>[2]DAT!AG4</f>
        <v>188.9</v>
      </c>
      <c r="Q8" s="18">
        <f>[2]DAT!AH4</f>
        <v>3</v>
      </c>
      <c r="R8" s="18">
        <f>[2]DAT!AI4</f>
        <v>6.9</v>
      </c>
      <c r="S8" s="18">
        <f>[2]DAT!AJ4</f>
        <v>9.6</v>
      </c>
      <c r="T8" s="18">
        <f>[2]DAT!AK4</f>
        <v>268.89999999999998</v>
      </c>
    </row>
    <row r="9" spans="1:20" ht="12.75" customHeight="1" x14ac:dyDescent="0.25">
      <c r="A9" s="19" t="s">
        <v>47</v>
      </c>
      <c r="B9">
        <f>[1]DAT!U5</f>
        <v>297.39999999999998</v>
      </c>
      <c r="C9" s="52">
        <f>[1]DAT!V5</f>
        <v>210.2</v>
      </c>
      <c r="E9" s="18">
        <f>[2]DAT!V5</f>
        <v>5.5</v>
      </c>
      <c r="F9" s="18">
        <f>[2]DAT!W5</f>
        <v>6.9</v>
      </c>
      <c r="G9" s="53">
        <f>[2]DAT!X5</f>
        <v>9.9</v>
      </c>
      <c r="H9" s="18">
        <f>[2]DAT!Y5</f>
        <v>28.8</v>
      </c>
      <c r="I9" s="18">
        <f>[2]DAT!Z5</f>
        <v>3.5</v>
      </c>
      <c r="J9" s="18">
        <f>[2]DAT!AA5</f>
        <v>6.9</v>
      </c>
      <c r="K9" s="18">
        <f>[2]DAT!AB5</f>
        <v>9.8000000000000007</v>
      </c>
      <c r="L9" s="18">
        <f>[2]DAT!AC5</f>
        <v>108.7</v>
      </c>
      <c r="M9" s="18">
        <f>[2]DAT!AD5</f>
        <v>4</v>
      </c>
      <c r="N9" s="18">
        <f>[2]DAT!AE5</f>
        <v>6.9</v>
      </c>
      <c r="O9" s="18">
        <f>[2]DAT!AF5</f>
        <v>9.9</v>
      </c>
      <c r="P9" s="18">
        <f>[2]DAT!AG5</f>
        <v>188.8</v>
      </c>
      <c r="Q9" s="18">
        <f>[2]DAT!AH5</f>
        <v>3</v>
      </c>
      <c r="R9" s="18">
        <f>[2]DAT!AI5</f>
        <v>6.9</v>
      </c>
      <c r="S9" s="18">
        <f>[2]DAT!AJ5</f>
        <v>9.9</v>
      </c>
      <c r="T9" s="18">
        <f>[2]DAT!AK5</f>
        <v>268.89999999999998</v>
      </c>
    </row>
    <row r="10" spans="1:20" ht="12.75" customHeight="1" x14ac:dyDescent="0.25">
      <c r="A10" s="19" t="s">
        <v>48</v>
      </c>
      <c r="B10">
        <f>[1]DAT!U6</f>
        <v>297.39999999999998</v>
      </c>
      <c r="C10" s="52">
        <f>[1]DAT!V6</f>
        <v>210.7</v>
      </c>
      <c r="E10" s="18">
        <f>[2]DAT!V6</f>
        <v>4</v>
      </c>
      <c r="F10" s="18">
        <f>[2]DAT!W6</f>
        <v>6.9</v>
      </c>
      <c r="G10" s="53">
        <f>[2]DAT!X6</f>
        <v>10.1</v>
      </c>
      <c r="H10" s="18">
        <f>[2]DAT!Y6</f>
        <v>28.8</v>
      </c>
      <c r="I10" s="18">
        <f>[2]DAT!Z6</f>
        <v>4</v>
      </c>
      <c r="J10" s="18">
        <f>[2]DAT!AA6</f>
        <v>6.9</v>
      </c>
      <c r="K10" s="18">
        <f>[2]DAT!AB6</f>
        <v>10.1</v>
      </c>
      <c r="L10" s="18">
        <f>[2]DAT!AC6</f>
        <v>108.8</v>
      </c>
      <c r="M10" s="18">
        <f>[2]DAT!AD6</f>
        <v>4</v>
      </c>
      <c r="N10" s="18">
        <f>[2]DAT!AE6</f>
        <v>6.9</v>
      </c>
      <c r="O10" s="18">
        <f>[2]DAT!AF6</f>
        <v>10.1</v>
      </c>
      <c r="P10" s="18">
        <f>[2]DAT!AG6</f>
        <v>188.9</v>
      </c>
      <c r="Q10" s="18">
        <f>[2]DAT!AH6</f>
        <v>5</v>
      </c>
      <c r="R10" s="18">
        <f>[2]DAT!AI6</f>
        <v>6.8</v>
      </c>
      <c r="S10" s="18">
        <f>[2]DAT!AJ6</f>
        <v>10.1</v>
      </c>
      <c r="T10" s="18">
        <f>[2]DAT!AK6</f>
        <v>268.89999999999998</v>
      </c>
    </row>
    <row r="11" spans="1:20" ht="12.75" customHeight="1" x14ac:dyDescent="0.25">
      <c r="A11" s="19" t="s">
        <v>49</v>
      </c>
      <c r="B11">
        <f>[1]DAT!U7</f>
        <v>297.39999999999998</v>
      </c>
      <c r="C11" s="52">
        <f>[1]DAT!V7</f>
        <v>210.6</v>
      </c>
      <c r="E11" s="18">
        <f>[2]DAT!V7</f>
        <v>3.5</v>
      </c>
      <c r="F11" s="18">
        <f>[2]DAT!W7</f>
        <v>6.9</v>
      </c>
      <c r="G11" s="53">
        <f>[2]DAT!X7</f>
        <v>9.9</v>
      </c>
      <c r="H11" s="18">
        <f>[2]DAT!Y7</f>
        <v>28.8</v>
      </c>
      <c r="I11" s="18">
        <f>[2]DAT!Z7</f>
        <v>6</v>
      </c>
      <c r="J11" s="18">
        <f>[2]DAT!AA7</f>
        <v>6.9</v>
      </c>
      <c r="K11" s="18">
        <f>[2]DAT!AB7</f>
        <v>9.9</v>
      </c>
      <c r="L11" s="18">
        <f>[2]DAT!AC7</f>
        <v>108.8</v>
      </c>
      <c r="M11" s="18">
        <f>[2]DAT!AD7</f>
        <v>8</v>
      </c>
      <c r="N11" s="18">
        <f>[2]DAT!AE7</f>
        <v>6.9</v>
      </c>
      <c r="O11" s="18">
        <f>[2]DAT!AF7</f>
        <v>9.9</v>
      </c>
      <c r="P11" s="18">
        <f>[2]DAT!AG7</f>
        <v>189</v>
      </c>
      <c r="Q11" s="18">
        <f>[2]DAT!AH7</f>
        <v>3.5</v>
      </c>
      <c r="R11" s="18">
        <f>[2]DAT!AI7</f>
        <v>6.8</v>
      </c>
      <c r="S11" s="18">
        <f>[2]DAT!AJ7</f>
        <v>10</v>
      </c>
      <c r="T11" s="18">
        <f>[2]DAT!AK7</f>
        <v>269</v>
      </c>
    </row>
    <row r="12" spans="1:20" ht="12.75" customHeight="1" x14ac:dyDescent="0.25">
      <c r="A12" s="19" t="s">
        <v>50</v>
      </c>
      <c r="B12">
        <f>[1]DAT!U8</f>
        <v>297.39999999999998</v>
      </c>
      <c r="C12" s="52">
        <f>[1]DAT!V8</f>
        <v>210</v>
      </c>
      <c r="E12" s="18">
        <f>[2]DAT!V8</f>
        <v>5</v>
      </c>
      <c r="F12" s="18">
        <f>[2]DAT!W8</f>
        <v>6.9</v>
      </c>
      <c r="G12" s="53">
        <f>[2]DAT!X8</f>
        <v>9.9</v>
      </c>
      <c r="H12" s="18">
        <f>[2]DAT!Y8</f>
        <v>28.8</v>
      </c>
      <c r="I12" s="18">
        <f>[2]DAT!Z8</f>
        <v>4.5</v>
      </c>
      <c r="J12" s="18">
        <f>[2]DAT!AA8</f>
        <v>6.9</v>
      </c>
      <c r="K12" s="18">
        <f>[2]DAT!AB8</f>
        <v>9.9</v>
      </c>
      <c r="L12" s="18">
        <f>[2]DAT!AC8</f>
        <v>108.9</v>
      </c>
      <c r="M12" s="18">
        <f>[2]DAT!AD8</f>
        <v>4.5</v>
      </c>
      <c r="N12" s="18">
        <f>[2]DAT!AE8</f>
        <v>6.8</v>
      </c>
      <c r="O12" s="18">
        <f>[2]DAT!AF8</f>
        <v>9.9</v>
      </c>
      <c r="P12" s="18">
        <f>[2]DAT!AG8</f>
        <v>189</v>
      </c>
      <c r="Q12" s="18">
        <f>[2]DAT!AH8</f>
        <v>5.5</v>
      </c>
      <c r="R12" s="18">
        <f>[2]DAT!AI8</f>
        <v>6.9</v>
      </c>
      <c r="S12" s="18">
        <f>[2]DAT!AJ8</f>
        <v>10</v>
      </c>
      <c r="T12" s="18">
        <f>[2]DAT!AK8</f>
        <v>269</v>
      </c>
    </row>
    <row r="14" spans="1:20" ht="12.75" customHeight="1" x14ac:dyDescent="0.25">
      <c r="E14" s="22"/>
    </row>
    <row r="16" spans="1:20" ht="12.75" customHeight="1" x14ac:dyDescent="0.25"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5:20" ht="12.75" customHeight="1" x14ac:dyDescent="0.25"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5:20" ht="12.75" customHeight="1" x14ac:dyDescent="0.25"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5:20" ht="12.75" customHeight="1" x14ac:dyDescent="0.25"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5:20" ht="12.75" customHeight="1" x14ac:dyDescent="0.25"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5:20" ht="12.75" customHeight="1" x14ac:dyDescent="0.25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5:20" ht="12.75" customHeight="1" x14ac:dyDescent="0.25"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5:20" ht="12.75" customHeight="1" x14ac:dyDescent="0.25"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A44F</vt:lpstr>
      <vt:lpstr>A42F</vt:lpstr>
      <vt:lpstr>LT</vt:lpstr>
      <vt:lpstr>SW</vt:lpstr>
      <vt:lpstr>CQS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João Almeida</cp:lastModifiedBy>
  <dcterms:created xsi:type="dcterms:W3CDTF">2010-03-16T22:52:34Z</dcterms:created>
  <dcterms:modified xsi:type="dcterms:W3CDTF">2024-11-18T12:34:34Z</dcterms:modified>
</cp:coreProperties>
</file>